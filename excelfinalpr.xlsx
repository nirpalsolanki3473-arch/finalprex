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2023\Downloads\"/>
    </mc:Choice>
  </mc:AlternateContent>
  <xr:revisionPtr revIDLastSave="0" documentId="8_{F4F6274B-5ABC-4497-BF06-C37AC52A8894}" xr6:coauthVersionLast="47" xr6:coauthVersionMax="47" xr10:uidLastSave="{00000000-0000-0000-0000-000000000000}"/>
  <bookViews>
    <workbookView xWindow="-110" yWindow="-110" windowWidth="19420" windowHeight="10300" activeTab="8" xr2:uid="{E8EC6CF2-11C3-4213-A2EC-07AD96923231}"/>
  </bookViews>
  <sheets>
    <sheet name="Sheet3" sheetId="3" r:id="rId1"/>
    <sheet name="Sheet4" sheetId="12" state="hidden" r:id="rId2"/>
    <sheet name="Sheet2" sheetId="11" state="hidden" r:id="rId3"/>
    <sheet name="Dashboard" sheetId="5" r:id="rId4"/>
    <sheet name="Sheet5" sheetId="13" state="hidden" r:id="rId5"/>
    <sheet name="Sheet1" sheetId="1" r:id="rId6"/>
    <sheet name="Sheet7" sheetId="15" r:id="rId7"/>
    <sheet name="premium" sheetId="16" r:id="rId8"/>
    <sheet name="Sheet6" sheetId="18" r:id="rId9"/>
    <sheet name="Sheet9" sheetId="10" state="hidden" r:id="rId10"/>
  </sheets>
  <definedNames>
    <definedName name="Slicer_Region">#N/A</definedName>
  </definedNames>
  <calcPr calcId="18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2" i="18" l="1"/>
  <c r="K251" i="18"/>
  <c r="K250" i="18"/>
  <c r="K249" i="18"/>
  <c r="K248" i="18"/>
  <c r="K247" i="18"/>
  <c r="K246" i="18"/>
  <c r="K245" i="18"/>
  <c r="K244" i="18"/>
  <c r="K243" i="18"/>
  <c r="K242" i="18"/>
  <c r="K241" i="18"/>
  <c r="K240" i="18"/>
  <c r="K239" i="18"/>
  <c r="K238" i="18"/>
  <c r="K237" i="18"/>
  <c r="K236" i="18"/>
  <c r="K235" i="18"/>
  <c r="K234" i="18"/>
  <c r="K233" i="18"/>
  <c r="K232" i="18"/>
  <c r="K231" i="18"/>
  <c r="K230" i="18"/>
  <c r="K229" i="18"/>
  <c r="K228" i="18"/>
  <c r="K227" i="18"/>
  <c r="K226" i="18"/>
  <c r="K225" i="18"/>
  <c r="K224" i="18"/>
  <c r="K223" i="18"/>
  <c r="K222" i="18"/>
  <c r="K221" i="18"/>
  <c r="K220" i="18"/>
  <c r="K219" i="18"/>
  <c r="K218" i="18"/>
  <c r="K217" i="18"/>
  <c r="K216" i="18"/>
  <c r="K215" i="18"/>
  <c r="K214" i="18"/>
  <c r="K213" i="18"/>
  <c r="K212" i="18"/>
  <c r="K211" i="18"/>
  <c r="K210" i="18"/>
  <c r="K209" i="18"/>
  <c r="K208" i="18"/>
  <c r="K207" i="18"/>
  <c r="K206" i="18"/>
  <c r="K205" i="18"/>
  <c r="K204" i="18"/>
  <c r="K203" i="18"/>
  <c r="K202" i="18"/>
  <c r="K201" i="18"/>
  <c r="K200" i="18"/>
  <c r="K199" i="18"/>
  <c r="K198" i="18"/>
  <c r="K197" i="18"/>
  <c r="K196" i="18"/>
  <c r="K195" i="18"/>
  <c r="K194" i="18"/>
  <c r="K193" i="18"/>
  <c r="K192" i="18"/>
  <c r="K191" i="18"/>
  <c r="K190" i="18"/>
  <c r="K189" i="18"/>
  <c r="K188" i="18"/>
  <c r="K187" i="18"/>
  <c r="K186" i="18"/>
  <c r="K185" i="18"/>
  <c r="K184" i="18"/>
  <c r="K183" i="18"/>
  <c r="K182" i="18"/>
  <c r="K181" i="18"/>
  <c r="K180" i="18"/>
  <c r="K179" i="18"/>
  <c r="K178" i="18"/>
  <c r="K177" i="18"/>
  <c r="K176" i="18"/>
  <c r="K175" i="18"/>
  <c r="K174" i="18"/>
  <c r="K173" i="18"/>
  <c r="K172" i="18"/>
  <c r="K171" i="18"/>
  <c r="K170" i="18"/>
  <c r="K169" i="18"/>
  <c r="K168" i="18"/>
  <c r="K167" i="18"/>
  <c r="K166" i="18"/>
  <c r="K165" i="18"/>
  <c r="K164" i="18"/>
  <c r="K163" i="18"/>
  <c r="K162" i="18"/>
  <c r="K161" i="18"/>
  <c r="K160" i="18"/>
  <c r="K159" i="18"/>
  <c r="K158" i="18"/>
  <c r="K157" i="18"/>
  <c r="K156" i="18"/>
  <c r="K155" i="18"/>
  <c r="K154" i="18"/>
  <c r="K153" i="18"/>
  <c r="K152" i="18"/>
  <c r="K151" i="18"/>
  <c r="K150" i="18"/>
  <c r="K149" i="18"/>
  <c r="K148" i="18"/>
  <c r="K147" i="18"/>
  <c r="K146" i="18"/>
  <c r="K145" i="18"/>
  <c r="K144" i="18"/>
  <c r="K143" i="18"/>
  <c r="K142" i="18"/>
  <c r="K141" i="18"/>
  <c r="K140" i="18"/>
  <c r="K139" i="18"/>
  <c r="K138" i="18"/>
  <c r="K137" i="18"/>
  <c r="K136" i="18"/>
  <c r="K135" i="18"/>
  <c r="K134" i="18"/>
  <c r="K133" i="18"/>
  <c r="K132" i="18"/>
  <c r="K131" i="18"/>
  <c r="K130" i="18"/>
  <c r="K129" i="18"/>
  <c r="K128" i="18"/>
  <c r="K127" i="18"/>
  <c r="K126" i="18"/>
  <c r="K125" i="18"/>
  <c r="K124" i="18"/>
  <c r="K123" i="18"/>
  <c r="K122" i="18"/>
  <c r="K121" i="18"/>
  <c r="K120" i="18"/>
  <c r="K119" i="18"/>
  <c r="K118" i="18"/>
  <c r="K117" i="18"/>
  <c r="K116" i="18"/>
  <c r="K115" i="18"/>
  <c r="K114" i="18"/>
  <c r="K113" i="18"/>
  <c r="K112" i="18"/>
  <c r="K111" i="18"/>
  <c r="K110" i="18"/>
  <c r="K109" i="18"/>
  <c r="K108" i="18"/>
  <c r="K107" i="18"/>
  <c r="K106" i="18"/>
  <c r="K105" i="18"/>
  <c r="K104" i="18"/>
  <c r="K103" i="18"/>
  <c r="K102" i="18"/>
  <c r="K101" i="18"/>
  <c r="K100" i="18"/>
  <c r="K99" i="18"/>
  <c r="K98" i="18"/>
  <c r="K97" i="18"/>
  <c r="K96" i="18"/>
  <c r="K95" i="18"/>
  <c r="K94" i="18"/>
  <c r="K93" i="18"/>
  <c r="K92" i="18"/>
  <c r="K91" i="18"/>
  <c r="K90" i="18"/>
  <c r="K89" i="18"/>
  <c r="K88" i="18"/>
  <c r="K87" i="18"/>
  <c r="K86" i="18"/>
  <c r="K85" i="18"/>
  <c r="K84" i="18"/>
  <c r="K83" i="18"/>
  <c r="K82" i="18"/>
  <c r="K81" i="18"/>
  <c r="K80" i="18"/>
  <c r="K79" i="18"/>
  <c r="K78" i="18"/>
  <c r="K77" i="18"/>
  <c r="K76" i="18"/>
  <c r="K75" i="18"/>
  <c r="K74" i="18"/>
  <c r="K73" i="18"/>
  <c r="K72" i="18"/>
  <c r="K71" i="18"/>
  <c r="K70" i="18"/>
  <c r="K69" i="18"/>
  <c r="K68" i="18"/>
  <c r="K67" i="18"/>
  <c r="K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 i="15"/>
  <c r="A4" i="16" a="1"/>
  <c r="AF2" i="15"/>
  <c r="AF12" i="15"/>
  <c r="AF5" i="15"/>
  <c r="AF6" i="15"/>
  <c r="AF7" i="15"/>
  <c r="AF8" i="15"/>
  <c r="AF9" i="15"/>
  <c r="AF10" i="15"/>
  <c r="AF11" i="15"/>
  <c r="AF13" i="15"/>
  <c r="AF14" i="15"/>
  <c r="AF15" i="15"/>
  <c r="AF16" i="15"/>
  <c r="AF17" i="15"/>
  <c r="AF18" i="15"/>
  <c r="AF19" i="15"/>
  <c r="AF20" i="15"/>
  <c r="AF21" i="15"/>
  <c r="AF22" i="15"/>
  <c r="AF23" i="15"/>
  <c r="AF24" i="15"/>
  <c r="AF25" i="15"/>
  <c r="AF26" i="15"/>
  <c r="AF27" i="15"/>
  <c r="AF28" i="15"/>
  <c r="AF29" i="15"/>
  <c r="AF30" i="15"/>
  <c r="AF31" i="15"/>
  <c r="AF32" i="15"/>
  <c r="AF33" i="15"/>
  <c r="AF34" i="15"/>
  <c r="AF35" i="15"/>
  <c r="AF36" i="15"/>
  <c r="AF37" i="15"/>
  <c r="AF38" i="15"/>
  <c r="AF39" i="15"/>
  <c r="AF40" i="15"/>
  <c r="AF41" i="15"/>
  <c r="AF42" i="15"/>
  <c r="AF43" i="15"/>
  <c r="AF44" i="15"/>
  <c r="AF45" i="15"/>
  <c r="AF46" i="15"/>
  <c r="AF47" i="15"/>
  <c r="AF48" i="15"/>
  <c r="AF49" i="15"/>
  <c r="AF50" i="15"/>
  <c r="AF51" i="15"/>
  <c r="AF52" i="15"/>
  <c r="AF53" i="15"/>
  <c r="AF54" i="15"/>
  <c r="AF55" i="15"/>
  <c r="AF56" i="15"/>
  <c r="AF57" i="15"/>
  <c r="AF58" i="15"/>
  <c r="AF59" i="15"/>
  <c r="AF60" i="15"/>
  <c r="AF61" i="15"/>
  <c r="AF62" i="15"/>
  <c r="AF63" i="15"/>
  <c r="AF64" i="15"/>
  <c r="AF65" i="15"/>
  <c r="AF66" i="15"/>
  <c r="AF67" i="15"/>
  <c r="AF68" i="15"/>
  <c r="AF69" i="15"/>
  <c r="AF70" i="15"/>
  <c r="AF71" i="15"/>
  <c r="AF72" i="15"/>
  <c r="AF73" i="15"/>
  <c r="AF74" i="15"/>
  <c r="AF75" i="15"/>
  <c r="AF76" i="15"/>
  <c r="AF77" i="15"/>
  <c r="AF78" i="15"/>
  <c r="AF79" i="15"/>
  <c r="AF80" i="15"/>
  <c r="AF81" i="15"/>
  <c r="AF82" i="15"/>
  <c r="AF83" i="15"/>
  <c r="AF84" i="15"/>
  <c r="AF85" i="15"/>
  <c r="AF86" i="15"/>
  <c r="AF87" i="15"/>
  <c r="AF88" i="15"/>
  <c r="AF89" i="15"/>
  <c r="AF90" i="15"/>
  <c r="AF91" i="15"/>
  <c r="AF92" i="15"/>
  <c r="AF93" i="15"/>
  <c r="AF94" i="15"/>
  <c r="AF95" i="15"/>
  <c r="AF96" i="15"/>
  <c r="AF97" i="15"/>
  <c r="AF98" i="15"/>
  <c r="AF99" i="15"/>
  <c r="AF100" i="15"/>
  <c r="AF101" i="15"/>
  <c r="AF102" i="15"/>
  <c r="AF103" i="15"/>
  <c r="AF104" i="15"/>
  <c r="AF105" i="15"/>
  <c r="AF106" i="15"/>
  <c r="AF107" i="15"/>
  <c r="AF108" i="15"/>
  <c r="AF109" i="15"/>
  <c r="AF110" i="15"/>
  <c r="AF111" i="15"/>
  <c r="AF112" i="15"/>
  <c r="AF113" i="15"/>
  <c r="AF114" i="15"/>
  <c r="AF115" i="15"/>
  <c r="AF116" i="15"/>
  <c r="AF117" i="15"/>
  <c r="AF118" i="15"/>
  <c r="AF119" i="15"/>
  <c r="AF120" i="15"/>
  <c r="AF121" i="15"/>
  <c r="AF122" i="15"/>
  <c r="AF123" i="15"/>
  <c r="AF124" i="15"/>
  <c r="AF125" i="15"/>
  <c r="AF126" i="15"/>
  <c r="AF127" i="15"/>
  <c r="AF128" i="15"/>
  <c r="AF129" i="15"/>
  <c r="AF130" i="15"/>
  <c r="AF131" i="15"/>
  <c r="AF132" i="15"/>
  <c r="AF133" i="15"/>
  <c r="AF134" i="15"/>
  <c r="AF135" i="15"/>
  <c r="AF136" i="15"/>
  <c r="AF137" i="15"/>
  <c r="AF138" i="15"/>
  <c r="AF139" i="15"/>
  <c r="AF140" i="15"/>
  <c r="AF141" i="15"/>
  <c r="AF142" i="15"/>
  <c r="AF143" i="15"/>
  <c r="AF144" i="15"/>
  <c r="AF145" i="15"/>
  <c r="AF146" i="15"/>
  <c r="AF147" i="15"/>
  <c r="AF148" i="15"/>
  <c r="AF149" i="15"/>
  <c r="AF150" i="15"/>
  <c r="AF151" i="15"/>
  <c r="AF152" i="15"/>
  <c r="AF153" i="15"/>
  <c r="AF154" i="15"/>
  <c r="AF155" i="15"/>
  <c r="AF156" i="15"/>
  <c r="AF157" i="15"/>
  <c r="AF158" i="15"/>
  <c r="AF159" i="15"/>
  <c r="AF160" i="15"/>
  <c r="AF161" i="15"/>
  <c r="AF162" i="15"/>
  <c r="AF163" i="15"/>
  <c r="AF164" i="15"/>
  <c r="AF165" i="15"/>
  <c r="AF166" i="15"/>
  <c r="AF167" i="15"/>
  <c r="AF168" i="15"/>
  <c r="AF169" i="15"/>
  <c r="AF170" i="15"/>
  <c r="AF171" i="15"/>
  <c r="AF172" i="15"/>
  <c r="AF173" i="15"/>
  <c r="AF174" i="15"/>
  <c r="AF175" i="15"/>
  <c r="AF176" i="15"/>
  <c r="AF177" i="15"/>
  <c r="AF178" i="15"/>
  <c r="AF179" i="15"/>
  <c r="AF180" i="15"/>
  <c r="AF181" i="15"/>
  <c r="AF182" i="15"/>
  <c r="AF183" i="15"/>
  <c r="AF184" i="15"/>
  <c r="AF185" i="15"/>
  <c r="AF186" i="15"/>
  <c r="AF187" i="15"/>
  <c r="AF188" i="15"/>
  <c r="AF189" i="15"/>
  <c r="AF190" i="15"/>
  <c r="AF191" i="15"/>
  <c r="AF192" i="15"/>
  <c r="AF193" i="15"/>
  <c r="AF194" i="15"/>
  <c r="AF195" i="15"/>
  <c r="AF196" i="15"/>
  <c r="AF197" i="15"/>
  <c r="AF198" i="15"/>
  <c r="AF199" i="15"/>
  <c r="AF200" i="15"/>
  <c r="AF201" i="15"/>
  <c r="AF202" i="15"/>
  <c r="AF203" i="15"/>
  <c r="AF204" i="15"/>
  <c r="AF205" i="15"/>
  <c r="AF206" i="15"/>
  <c r="AF207" i="15"/>
  <c r="AF208" i="15"/>
  <c r="AF209" i="15"/>
  <c r="AF210" i="15"/>
  <c r="AF211" i="15"/>
  <c r="AF212" i="15"/>
  <c r="AF213" i="15"/>
  <c r="AF214" i="15"/>
  <c r="AF215" i="15"/>
  <c r="AF216" i="15"/>
  <c r="AF217" i="15"/>
  <c r="AF218" i="15"/>
  <c r="AF219" i="15"/>
  <c r="AF220" i="15"/>
  <c r="AF221" i="15"/>
  <c r="AF222" i="15"/>
  <c r="AF223" i="15"/>
  <c r="AF224" i="15"/>
  <c r="AF225" i="15"/>
  <c r="AF226" i="15"/>
  <c r="AF227" i="15"/>
  <c r="AF228" i="15"/>
  <c r="AF229" i="15"/>
  <c r="AF230" i="15"/>
  <c r="AF231" i="15"/>
  <c r="AF232" i="15"/>
  <c r="AF233" i="15"/>
  <c r="AF234" i="15"/>
  <c r="AF235" i="15"/>
  <c r="AF236" i="15"/>
  <c r="AF237" i="15"/>
  <c r="AF238" i="15"/>
  <c r="AF239" i="15"/>
  <c r="AF240" i="15"/>
  <c r="AF241" i="15"/>
  <c r="AF242" i="15"/>
  <c r="AF243" i="15"/>
  <c r="AF244" i="15"/>
  <c r="AF245" i="15"/>
  <c r="AF246" i="15"/>
  <c r="AF247" i="15"/>
  <c r="AF248" i="15"/>
  <c r="AF249" i="15"/>
  <c r="AF250" i="15"/>
  <c r="AF251" i="15"/>
  <c r="AF3" i="15"/>
  <c r="AF4" i="15"/>
  <c r="AA2" i="15" a="1"/>
  <c r="AB2" i="15" s="1"/>
  <c r="AC2" i="15" s="1"/>
  <c r="X3" i="15"/>
  <c r="X4" i="15"/>
  <c r="X5" i="15"/>
  <c r="X6" i="15"/>
  <c r="X7" i="15"/>
  <c r="X8" i="15"/>
  <c r="X9" i="15"/>
  <c r="X10" i="15"/>
  <c r="X11" i="15"/>
  <c r="X12" i="15"/>
  <c r="X13" i="15"/>
  <c r="X14" i="15"/>
  <c r="X15" i="15"/>
  <c r="X16" i="15"/>
  <c r="X17" i="15"/>
  <c r="X18" i="15"/>
  <c r="X19" i="15"/>
  <c r="X20" i="15"/>
  <c r="X21" i="15"/>
  <c r="X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146" i="15"/>
  <c r="X147" i="15"/>
  <c r="X148" i="15"/>
  <c r="X149" i="15"/>
  <c r="X150" i="15"/>
  <c r="X151" i="15"/>
  <c r="X152" i="15"/>
  <c r="X153" i="15"/>
  <c r="X154" i="15"/>
  <c r="X155" i="15"/>
  <c r="X156" i="15"/>
  <c r="X157" i="15"/>
  <c r="X158" i="15"/>
  <c r="X159" i="15"/>
  <c r="X160" i="15"/>
  <c r="X161" i="15"/>
  <c r="X162" i="15"/>
  <c r="X163" i="15"/>
  <c r="X164" i="15"/>
  <c r="X165" i="15"/>
  <c r="X166" i="15"/>
  <c r="X167" i="15"/>
  <c r="X168" i="15"/>
  <c r="X169" i="15"/>
  <c r="X170" i="15"/>
  <c r="X171" i="15"/>
  <c r="X172" i="15"/>
  <c r="X173" i="15"/>
  <c r="X174" i="15"/>
  <c r="X175" i="15"/>
  <c r="X176" i="15"/>
  <c r="X177" i="15"/>
  <c r="X178" i="15"/>
  <c r="X179" i="15"/>
  <c r="X180" i="15"/>
  <c r="X181" i="15"/>
  <c r="X182" i="15"/>
  <c r="X183" i="15"/>
  <c r="X184" i="15"/>
  <c r="X185" i="15"/>
  <c r="X186" i="15"/>
  <c r="X187" i="15"/>
  <c r="X188" i="15"/>
  <c r="X189" i="15"/>
  <c r="X190" i="15"/>
  <c r="X191" i="15"/>
  <c r="X192" i="15"/>
  <c r="X193" i="15"/>
  <c r="X194" i="15"/>
  <c r="X195" i="15"/>
  <c r="X196" i="15"/>
  <c r="X197" i="15"/>
  <c r="X198" i="15"/>
  <c r="X199" i="15"/>
  <c r="X200" i="15"/>
  <c r="X201" i="15"/>
  <c r="X202" i="15"/>
  <c r="X203" i="15"/>
  <c r="X204" i="15"/>
  <c r="X205" i="15"/>
  <c r="X206" i="15"/>
  <c r="X207" i="15"/>
  <c r="X208" i="15"/>
  <c r="X209" i="15"/>
  <c r="X210" i="15"/>
  <c r="X211" i="15"/>
  <c r="X212" i="15"/>
  <c r="X213" i="15"/>
  <c r="X214" i="15"/>
  <c r="X215" i="15"/>
  <c r="X216" i="15"/>
  <c r="X217" i="15"/>
  <c r="X218" i="15"/>
  <c r="X219" i="15"/>
  <c r="X220" i="15"/>
  <c r="X221" i="15"/>
  <c r="X222" i="15"/>
  <c r="X223" i="15"/>
  <c r="X224" i="15"/>
  <c r="X225" i="15"/>
  <c r="X226" i="15"/>
  <c r="X227" i="15"/>
  <c r="X228" i="15"/>
  <c r="X229" i="15"/>
  <c r="X230" i="15"/>
  <c r="X231" i="15"/>
  <c r="X232" i="15"/>
  <c r="X233" i="15"/>
  <c r="X234" i="15"/>
  <c r="X235" i="15"/>
  <c r="X236" i="15"/>
  <c r="X237" i="15"/>
  <c r="X238" i="15"/>
  <c r="X239" i="15"/>
  <c r="X240" i="15"/>
  <c r="X241" i="15"/>
  <c r="X242" i="15"/>
  <c r="X243" i="15"/>
  <c r="X244" i="15"/>
  <c r="X245" i="15"/>
  <c r="X246" i="15"/>
  <c r="X247" i="15"/>
  <c r="X248" i="15"/>
  <c r="X249" i="15"/>
  <c r="X250" i="15"/>
  <c r="X251" i="15"/>
  <c r="X2" i="15"/>
  <c r="T2" i="15" a="1"/>
  <c r="U2" i="15" s="1" a="1"/>
  <c r="V2" i="15" s="1"/>
  <c r="W2" i="15" s="1" a="1"/>
  <c r="S2" i="15" a="1"/>
  <c r="R251" i="15"/>
  <c r="Q251" i="15"/>
  <c r="P251" i="15"/>
  <c r="O251" i="15"/>
  <c r="R250" i="15"/>
  <c r="Q250" i="15"/>
  <c r="P250" i="15"/>
  <c r="O250" i="15"/>
  <c r="R249" i="15"/>
  <c r="Q249" i="15"/>
  <c r="P249" i="15"/>
  <c r="O249" i="15"/>
  <c r="R248" i="15"/>
  <c r="Q248" i="15"/>
  <c r="P248" i="15"/>
  <c r="O248" i="15"/>
  <c r="R247" i="15"/>
  <c r="Q247" i="15"/>
  <c r="P247" i="15"/>
  <c r="O247" i="15"/>
  <c r="R246" i="15"/>
  <c r="Q246" i="15"/>
  <c r="P246" i="15"/>
  <c r="O246" i="15"/>
  <c r="R245" i="15"/>
  <c r="Q245" i="15"/>
  <c r="P245" i="15"/>
  <c r="O245" i="15"/>
  <c r="R244" i="15"/>
  <c r="Q244" i="15"/>
  <c r="P244" i="15"/>
  <c r="O244" i="15"/>
  <c r="R243" i="15"/>
  <c r="Q243" i="15"/>
  <c r="P243" i="15"/>
  <c r="O243" i="15"/>
  <c r="R242" i="15"/>
  <c r="Q242" i="15"/>
  <c r="P242" i="15"/>
  <c r="O242" i="15"/>
  <c r="R241" i="15"/>
  <c r="Q241" i="15"/>
  <c r="P241" i="15"/>
  <c r="O241" i="15"/>
  <c r="R240" i="15"/>
  <c r="Q240" i="15"/>
  <c r="P240" i="15"/>
  <c r="O240" i="15"/>
  <c r="R239" i="15"/>
  <c r="Q239" i="15"/>
  <c r="P239" i="15"/>
  <c r="O239" i="15"/>
  <c r="R238" i="15"/>
  <c r="Q238" i="15"/>
  <c r="P238" i="15"/>
  <c r="O238" i="15"/>
  <c r="R237" i="15"/>
  <c r="Q237" i="15"/>
  <c r="P237" i="15"/>
  <c r="O237" i="15"/>
  <c r="R236" i="15"/>
  <c r="Q236" i="15"/>
  <c r="P236" i="15"/>
  <c r="O236" i="15"/>
  <c r="R235" i="15"/>
  <c r="Q235" i="15"/>
  <c r="P235" i="15"/>
  <c r="O235" i="15"/>
  <c r="R234" i="15"/>
  <c r="Q234" i="15"/>
  <c r="P234" i="15"/>
  <c r="O234" i="15"/>
  <c r="R233" i="15"/>
  <c r="Q233" i="15"/>
  <c r="P233" i="15"/>
  <c r="O233" i="15"/>
  <c r="R232" i="15"/>
  <c r="Q232" i="15"/>
  <c r="P232" i="15"/>
  <c r="O232" i="15"/>
  <c r="R231" i="15"/>
  <c r="Q231" i="15"/>
  <c r="P231" i="15"/>
  <c r="O231" i="15"/>
  <c r="R230" i="15"/>
  <c r="Q230" i="15"/>
  <c r="P230" i="15"/>
  <c r="O230" i="15"/>
  <c r="R229" i="15"/>
  <c r="Q229" i="15"/>
  <c r="P229" i="15"/>
  <c r="O229" i="15"/>
  <c r="R228" i="15"/>
  <c r="Q228" i="15"/>
  <c r="P228" i="15"/>
  <c r="O228" i="15"/>
  <c r="R227" i="15"/>
  <c r="Q227" i="15"/>
  <c r="P227" i="15"/>
  <c r="O227" i="15"/>
  <c r="R226" i="15"/>
  <c r="Q226" i="15"/>
  <c r="P226" i="15"/>
  <c r="O226" i="15"/>
  <c r="R225" i="15"/>
  <c r="Q225" i="15"/>
  <c r="P225" i="15"/>
  <c r="O225" i="15"/>
  <c r="R224" i="15"/>
  <c r="Q224" i="15"/>
  <c r="P224" i="15"/>
  <c r="O224" i="15"/>
  <c r="R223" i="15"/>
  <c r="Q223" i="15"/>
  <c r="P223" i="15"/>
  <c r="O223" i="15"/>
  <c r="R222" i="15"/>
  <c r="Q222" i="15"/>
  <c r="P222" i="15"/>
  <c r="O222" i="15"/>
  <c r="R221" i="15"/>
  <c r="Q221" i="15"/>
  <c r="P221" i="15"/>
  <c r="O221" i="15"/>
  <c r="R220" i="15"/>
  <c r="Q220" i="15"/>
  <c r="P220" i="15"/>
  <c r="O220" i="15"/>
  <c r="R219" i="15"/>
  <c r="Q219" i="15"/>
  <c r="P219" i="15"/>
  <c r="O219" i="15"/>
  <c r="R218" i="15"/>
  <c r="Q218" i="15"/>
  <c r="P218" i="15"/>
  <c r="O218" i="15"/>
  <c r="R217" i="15"/>
  <c r="Q217" i="15"/>
  <c r="P217" i="15"/>
  <c r="O217" i="15"/>
  <c r="R216" i="15"/>
  <c r="Q216" i="15"/>
  <c r="P216" i="15"/>
  <c r="O216" i="15"/>
  <c r="R215" i="15"/>
  <c r="Q215" i="15"/>
  <c r="P215" i="15"/>
  <c r="O215" i="15"/>
  <c r="R214" i="15"/>
  <c r="Q214" i="15"/>
  <c r="P214" i="15"/>
  <c r="O214" i="15"/>
  <c r="R213" i="15"/>
  <c r="Q213" i="15"/>
  <c r="P213" i="15"/>
  <c r="O213" i="15"/>
  <c r="R212" i="15"/>
  <c r="Q212" i="15"/>
  <c r="P212" i="15"/>
  <c r="O212" i="15"/>
  <c r="R211" i="15"/>
  <c r="Q211" i="15"/>
  <c r="P211" i="15"/>
  <c r="O211" i="15"/>
  <c r="R210" i="15"/>
  <c r="Q210" i="15"/>
  <c r="P210" i="15"/>
  <c r="O210" i="15"/>
  <c r="R209" i="15"/>
  <c r="Q209" i="15"/>
  <c r="P209" i="15"/>
  <c r="O209" i="15"/>
  <c r="R208" i="15"/>
  <c r="Q208" i="15"/>
  <c r="P208" i="15"/>
  <c r="O208" i="15"/>
  <c r="R207" i="15"/>
  <c r="Q207" i="15"/>
  <c r="P207" i="15"/>
  <c r="O207" i="15"/>
  <c r="R206" i="15"/>
  <c r="Q206" i="15"/>
  <c r="P206" i="15"/>
  <c r="O206" i="15"/>
  <c r="R205" i="15"/>
  <c r="Q205" i="15"/>
  <c r="P205" i="15"/>
  <c r="O205" i="15"/>
  <c r="R204" i="15"/>
  <c r="Q204" i="15"/>
  <c r="P204" i="15"/>
  <c r="O204" i="15"/>
  <c r="R203" i="15"/>
  <c r="Q203" i="15"/>
  <c r="P203" i="15"/>
  <c r="O203" i="15"/>
  <c r="R202" i="15"/>
  <c r="Q202" i="15"/>
  <c r="P202" i="15"/>
  <c r="O202" i="15"/>
  <c r="R201" i="15"/>
  <c r="Q201" i="15"/>
  <c r="P201" i="15"/>
  <c r="O201" i="15"/>
  <c r="R200" i="15"/>
  <c r="Q200" i="15"/>
  <c r="P200" i="15"/>
  <c r="O200" i="15"/>
  <c r="R199" i="15"/>
  <c r="Q199" i="15"/>
  <c r="P199" i="15"/>
  <c r="O199" i="15"/>
  <c r="R198" i="15"/>
  <c r="Q198" i="15"/>
  <c r="P198" i="15"/>
  <c r="O198" i="15"/>
  <c r="R197" i="15"/>
  <c r="Q197" i="15"/>
  <c r="P197" i="15"/>
  <c r="O197" i="15"/>
  <c r="R196" i="15"/>
  <c r="Q196" i="15"/>
  <c r="P196" i="15"/>
  <c r="O196" i="15"/>
  <c r="R195" i="15"/>
  <c r="Q195" i="15"/>
  <c r="P195" i="15"/>
  <c r="O195" i="15"/>
  <c r="R194" i="15"/>
  <c r="Q194" i="15"/>
  <c r="P194" i="15"/>
  <c r="O194" i="15"/>
  <c r="R193" i="15"/>
  <c r="Q193" i="15"/>
  <c r="P193" i="15"/>
  <c r="O193" i="15"/>
  <c r="R192" i="15"/>
  <c r="Q192" i="15"/>
  <c r="P192" i="15"/>
  <c r="O192" i="15"/>
  <c r="R191" i="15"/>
  <c r="Q191" i="15"/>
  <c r="P191" i="15"/>
  <c r="O191" i="15"/>
  <c r="R190" i="15"/>
  <c r="Q190" i="15"/>
  <c r="P190" i="15"/>
  <c r="O190" i="15"/>
  <c r="R189" i="15"/>
  <c r="Q189" i="15"/>
  <c r="P189" i="15"/>
  <c r="O189" i="15"/>
  <c r="R188" i="15"/>
  <c r="Q188" i="15"/>
  <c r="P188" i="15"/>
  <c r="O188" i="15"/>
  <c r="R187" i="15"/>
  <c r="Q187" i="15"/>
  <c r="P187" i="15"/>
  <c r="O187" i="15"/>
  <c r="R186" i="15"/>
  <c r="Q186" i="15"/>
  <c r="P186" i="15"/>
  <c r="O186" i="15"/>
  <c r="R185" i="15"/>
  <c r="Q185" i="15"/>
  <c r="P185" i="15"/>
  <c r="O185" i="15"/>
  <c r="R184" i="15"/>
  <c r="Q184" i="15"/>
  <c r="P184" i="15"/>
  <c r="O184" i="15"/>
  <c r="R183" i="15"/>
  <c r="Q183" i="15"/>
  <c r="P183" i="15"/>
  <c r="O183" i="15"/>
  <c r="R182" i="15"/>
  <c r="Q182" i="15"/>
  <c r="P182" i="15"/>
  <c r="O182" i="15"/>
  <c r="R181" i="15"/>
  <c r="Q181" i="15"/>
  <c r="P181" i="15"/>
  <c r="O181" i="15"/>
  <c r="R180" i="15"/>
  <c r="Q180" i="15"/>
  <c r="P180" i="15"/>
  <c r="O180" i="15"/>
  <c r="R179" i="15"/>
  <c r="Q179" i="15"/>
  <c r="P179" i="15"/>
  <c r="O179" i="15"/>
  <c r="R178" i="15"/>
  <c r="Q178" i="15"/>
  <c r="P178" i="15"/>
  <c r="O178" i="15"/>
  <c r="R177" i="15"/>
  <c r="Q177" i="15"/>
  <c r="P177" i="15"/>
  <c r="O177" i="15"/>
  <c r="R176" i="15"/>
  <c r="Q176" i="15"/>
  <c r="P176" i="15"/>
  <c r="O176" i="15"/>
  <c r="R175" i="15"/>
  <c r="Q175" i="15"/>
  <c r="P175" i="15"/>
  <c r="O175" i="15"/>
  <c r="R174" i="15"/>
  <c r="Q174" i="15"/>
  <c r="P174" i="15"/>
  <c r="O174" i="15"/>
  <c r="R173" i="15"/>
  <c r="Q173" i="15"/>
  <c r="P173" i="15"/>
  <c r="O173" i="15"/>
  <c r="R172" i="15"/>
  <c r="Q172" i="15"/>
  <c r="P172" i="15"/>
  <c r="O172" i="15"/>
  <c r="R171" i="15"/>
  <c r="Q171" i="15"/>
  <c r="P171" i="15"/>
  <c r="O171" i="15"/>
  <c r="R170" i="15"/>
  <c r="Q170" i="15"/>
  <c r="P170" i="15"/>
  <c r="O170" i="15"/>
  <c r="R169" i="15"/>
  <c r="Q169" i="15"/>
  <c r="P169" i="15"/>
  <c r="O169" i="15"/>
  <c r="R168" i="15"/>
  <c r="Q168" i="15"/>
  <c r="P168" i="15"/>
  <c r="O168" i="15"/>
  <c r="R167" i="15"/>
  <c r="Q167" i="15"/>
  <c r="P167" i="15"/>
  <c r="O167" i="15"/>
  <c r="R166" i="15"/>
  <c r="Q166" i="15"/>
  <c r="P166" i="15"/>
  <c r="O166" i="15"/>
  <c r="R165" i="15"/>
  <c r="Q165" i="15"/>
  <c r="P165" i="15"/>
  <c r="O165" i="15"/>
  <c r="R164" i="15"/>
  <c r="Q164" i="15"/>
  <c r="P164" i="15"/>
  <c r="O164" i="15"/>
  <c r="R163" i="15"/>
  <c r="Q163" i="15"/>
  <c r="P163" i="15"/>
  <c r="O163" i="15"/>
  <c r="R162" i="15"/>
  <c r="Q162" i="15"/>
  <c r="P162" i="15"/>
  <c r="O162" i="15"/>
  <c r="R161" i="15"/>
  <c r="Q161" i="15"/>
  <c r="P161" i="15"/>
  <c r="O161" i="15"/>
  <c r="R160" i="15"/>
  <c r="Q160" i="15"/>
  <c r="P160" i="15"/>
  <c r="O160" i="15"/>
  <c r="R159" i="15"/>
  <c r="Q159" i="15"/>
  <c r="P159" i="15"/>
  <c r="O159" i="15"/>
  <c r="R158" i="15"/>
  <c r="Q158" i="15"/>
  <c r="P158" i="15"/>
  <c r="O158" i="15"/>
  <c r="R157" i="15"/>
  <c r="Q157" i="15"/>
  <c r="P157" i="15"/>
  <c r="O157" i="15"/>
  <c r="R156" i="15"/>
  <c r="Q156" i="15"/>
  <c r="P156" i="15"/>
  <c r="O156" i="15"/>
  <c r="R155" i="15"/>
  <c r="Q155" i="15"/>
  <c r="P155" i="15"/>
  <c r="O155" i="15"/>
  <c r="R154" i="15"/>
  <c r="Q154" i="15"/>
  <c r="P154" i="15"/>
  <c r="O154" i="15"/>
  <c r="R153" i="15"/>
  <c r="Q153" i="15"/>
  <c r="P153" i="15"/>
  <c r="O153" i="15"/>
  <c r="R152" i="15"/>
  <c r="Q152" i="15"/>
  <c r="P152" i="15"/>
  <c r="O152" i="15"/>
  <c r="R151" i="15"/>
  <c r="Q151" i="15"/>
  <c r="P151" i="15"/>
  <c r="O151" i="15"/>
  <c r="R150" i="15"/>
  <c r="Q150" i="15"/>
  <c r="P150" i="15"/>
  <c r="O150" i="15"/>
  <c r="R149" i="15"/>
  <c r="Q149" i="15"/>
  <c r="P149" i="15"/>
  <c r="O149" i="15"/>
  <c r="R148" i="15"/>
  <c r="Q148" i="15"/>
  <c r="P148" i="15"/>
  <c r="O148" i="15"/>
  <c r="R147" i="15"/>
  <c r="Q147" i="15"/>
  <c r="P147" i="15"/>
  <c r="O147" i="15"/>
  <c r="R146" i="15"/>
  <c r="Q146" i="15"/>
  <c r="P146" i="15"/>
  <c r="O146" i="15"/>
  <c r="R145" i="15"/>
  <c r="Q145" i="15"/>
  <c r="P145" i="15"/>
  <c r="O145" i="15"/>
  <c r="R144" i="15"/>
  <c r="Q144" i="15"/>
  <c r="P144" i="15"/>
  <c r="O144" i="15"/>
  <c r="R143" i="15"/>
  <c r="Q143" i="15"/>
  <c r="P143" i="15"/>
  <c r="O143" i="15"/>
  <c r="R142" i="15"/>
  <c r="Q142" i="15"/>
  <c r="P142" i="15"/>
  <c r="O142" i="15"/>
  <c r="R141" i="15"/>
  <c r="Q141" i="15"/>
  <c r="P141" i="15"/>
  <c r="O141" i="15"/>
  <c r="R140" i="15"/>
  <c r="Q140" i="15"/>
  <c r="P140" i="15"/>
  <c r="O140" i="15"/>
  <c r="R139" i="15"/>
  <c r="Q139" i="15"/>
  <c r="P139" i="15"/>
  <c r="O139" i="15"/>
  <c r="R138" i="15"/>
  <c r="Q138" i="15"/>
  <c r="P138" i="15"/>
  <c r="O138" i="15"/>
  <c r="R137" i="15"/>
  <c r="Q137" i="15"/>
  <c r="P137" i="15"/>
  <c r="O137" i="15"/>
  <c r="R136" i="15"/>
  <c r="Q136" i="15"/>
  <c r="P136" i="15"/>
  <c r="O136" i="15"/>
  <c r="R135" i="15"/>
  <c r="Q135" i="15"/>
  <c r="P135" i="15"/>
  <c r="O135" i="15"/>
  <c r="R134" i="15"/>
  <c r="Q134" i="15"/>
  <c r="P134" i="15"/>
  <c r="O134" i="15"/>
  <c r="R133" i="15"/>
  <c r="Q133" i="15"/>
  <c r="P133" i="15"/>
  <c r="O133" i="15"/>
  <c r="R132" i="15"/>
  <c r="Q132" i="15"/>
  <c r="P132" i="15"/>
  <c r="O132" i="15"/>
  <c r="R131" i="15"/>
  <c r="Q131" i="15"/>
  <c r="P131" i="15"/>
  <c r="O131" i="15"/>
  <c r="R130" i="15"/>
  <c r="Q130" i="15"/>
  <c r="P130" i="15"/>
  <c r="O130" i="15"/>
  <c r="R129" i="15"/>
  <c r="Q129" i="15"/>
  <c r="P129" i="15"/>
  <c r="O129" i="15"/>
  <c r="R128" i="15"/>
  <c r="Q128" i="15"/>
  <c r="P128" i="15"/>
  <c r="O128" i="15"/>
  <c r="R127" i="15"/>
  <c r="Q127" i="15"/>
  <c r="P127" i="15"/>
  <c r="O127" i="15"/>
  <c r="R126" i="15"/>
  <c r="Q126" i="15"/>
  <c r="P126" i="15"/>
  <c r="O126" i="15"/>
  <c r="R125" i="15"/>
  <c r="Q125" i="15"/>
  <c r="P125" i="15"/>
  <c r="O125" i="15"/>
  <c r="R124" i="15"/>
  <c r="Q124" i="15"/>
  <c r="P124" i="15"/>
  <c r="O124" i="15"/>
  <c r="R123" i="15"/>
  <c r="Q123" i="15"/>
  <c r="P123" i="15"/>
  <c r="O123" i="15"/>
  <c r="R122" i="15"/>
  <c r="Q122" i="15"/>
  <c r="P122" i="15"/>
  <c r="O122" i="15"/>
  <c r="R121" i="15"/>
  <c r="Q121" i="15"/>
  <c r="P121" i="15"/>
  <c r="O121" i="15"/>
  <c r="R120" i="15"/>
  <c r="Q120" i="15"/>
  <c r="P120" i="15"/>
  <c r="O120" i="15"/>
  <c r="R119" i="15"/>
  <c r="Q119" i="15"/>
  <c r="P119" i="15"/>
  <c r="O119" i="15"/>
  <c r="R118" i="15"/>
  <c r="Q118" i="15"/>
  <c r="P118" i="15"/>
  <c r="O118" i="15"/>
  <c r="R117" i="15"/>
  <c r="Q117" i="15"/>
  <c r="P117" i="15"/>
  <c r="O117" i="15"/>
  <c r="R116" i="15"/>
  <c r="Q116" i="15"/>
  <c r="P116" i="15"/>
  <c r="O116" i="15"/>
  <c r="R115" i="15"/>
  <c r="Q115" i="15"/>
  <c r="P115" i="15"/>
  <c r="O115" i="15"/>
  <c r="R114" i="15"/>
  <c r="Q114" i="15"/>
  <c r="P114" i="15"/>
  <c r="O114" i="15"/>
  <c r="R113" i="15"/>
  <c r="Q113" i="15"/>
  <c r="P113" i="15"/>
  <c r="O113" i="15"/>
  <c r="R112" i="15"/>
  <c r="Q112" i="15"/>
  <c r="P112" i="15"/>
  <c r="O112" i="15"/>
  <c r="R111" i="15"/>
  <c r="Q111" i="15"/>
  <c r="P111" i="15"/>
  <c r="O111" i="15"/>
  <c r="R110" i="15"/>
  <c r="Q110" i="15"/>
  <c r="P110" i="15"/>
  <c r="O110" i="15"/>
  <c r="R109" i="15"/>
  <c r="Q109" i="15"/>
  <c r="P109" i="15"/>
  <c r="O109" i="15"/>
  <c r="R108" i="15"/>
  <c r="Q108" i="15"/>
  <c r="P108" i="15"/>
  <c r="O108" i="15"/>
  <c r="R107" i="15"/>
  <c r="Q107" i="15"/>
  <c r="P107" i="15"/>
  <c r="O107" i="15"/>
  <c r="R106" i="15"/>
  <c r="Q106" i="15"/>
  <c r="P106" i="15"/>
  <c r="O106" i="15"/>
  <c r="R105" i="15"/>
  <c r="Q105" i="15"/>
  <c r="P105" i="15"/>
  <c r="O105" i="15"/>
  <c r="R104" i="15"/>
  <c r="Q104" i="15"/>
  <c r="P104" i="15"/>
  <c r="O104" i="15"/>
  <c r="R103" i="15"/>
  <c r="Q103" i="15"/>
  <c r="P103" i="15"/>
  <c r="O103" i="15"/>
  <c r="R102" i="15"/>
  <c r="Q102" i="15"/>
  <c r="P102" i="15"/>
  <c r="O102" i="15"/>
  <c r="R101" i="15"/>
  <c r="Q101" i="15"/>
  <c r="P101" i="15"/>
  <c r="O101" i="15"/>
  <c r="R100" i="15"/>
  <c r="Q100" i="15"/>
  <c r="P100" i="15"/>
  <c r="O100" i="15"/>
  <c r="R99" i="15"/>
  <c r="Q99" i="15"/>
  <c r="P99" i="15"/>
  <c r="O99" i="15"/>
  <c r="R98" i="15"/>
  <c r="Q98" i="15"/>
  <c r="P98" i="15"/>
  <c r="O98" i="15"/>
  <c r="R97" i="15"/>
  <c r="Q97" i="15"/>
  <c r="P97" i="15"/>
  <c r="O97" i="15"/>
  <c r="R96" i="15"/>
  <c r="Q96" i="15"/>
  <c r="P96" i="15"/>
  <c r="O96" i="15"/>
  <c r="R95" i="15"/>
  <c r="Q95" i="15"/>
  <c r="P95" i="15"/>
  <c r="O95" i="15"/>
  <c r="R94" i="15"/>
  <c r="Q94" i="15"/>
  <c r="P94" i="15"/>
  <c r="O94" i="15"/>
  <c r="R93" i="15"/>
  <c r="Q93" i="15"/>
  <c r="P93" i="15"/>
  <c r="O93" i="15"/>
  <c r="R92" i="15"/>
  <c r="Q92" i="15"/>
  <c r="P92" i="15"/>
  <c r="O92" i="15"/>
  <c r="R91" i="15"/>
  <c r="Q91" i="15"/>
  <c r="P91" i="15"/>
  <c r="O91" i="15"/>
  <c r="R90" i="15"/>
  <c r="Q90" i="15"/>
  <c r="P90" i="15"/>
  <c r="O90" i="15"/>
  <c r="R89" i="15"/>
  <c r="Q89" i="15"/>
  <c r="P89" i="15"/>
  <c r="O89" i="15"/>
  <c r="R88" i="15"/>
  <c r="Q88" i="15"/>
  <c r="P88" i="15"/>
  <c r="O88" i="15"/>
  <c r="R87" i="15"/>
  <c r="Q87" i="15"/>
  <c r="P87" i="15"/>
  <c r="O87" i="15"/>
  <c r="R86" i="15"/>
  <c r="Q86" i="15"/>
  <c r="P86" i="15"/>
  <c r="O86" i="15"/>
  <c r="R85" i="15"/>
  <c r="Q85" i="15"/>
  <c r="P85" i="15"/>
  <c r="O85" i="15"/>
  <c r="R84" i="15"/>
  <c r="Q84" i="15"/>
  <c r="P84" i="15"/>
  <c r="O84" i="15"/>
  <c r="R83" i="15"/>
  <c r="Q83" i="15"/>
  <c r="P83" i="15"/>
  <c r="O83" i="15"/>
  <c r="R82" i="15"/>
  <c r="Q82" i="15"/>
  <c r="P82" i="15"/>
  <c r="O82" i="15"/>
  <c r="R81" i="15"/>
  <c r="Q81" i="15"/>
  <c r="P81" i="15"/>
  <c r="O81" i="15"/>
  <c r="R80" i="15"/>
  <c r="Q80" i="15"/>
  <c r="P80" i="15"/>
  <c r="O80" i="15"/>
  <c r="R79" i="15"/>
  <c r="Q79" i="15"/>
  <c r="P79" i="15"/>
  <c r="O79" i="15"/>
  <c r="R78" i="15"/>
  <c r="Q78" i="15"/>
  <c r="P78" i="15"/>
  <c r="O78" i="15"/>
  <c r="R77" i="15"/>
  <c r="Q77" i="15"/>
  <c r="P77" i="15"/>
  <c r="O77" i="15"/>
  <c r="R76" i="15"/>
  <c r="Q76" i="15"/>
  <c r="P76" i="15"/>
  <c r="O76" i="15"/>
  <c r="R75" i="15"/>
  <c r="Q75" i="15"/>
  <c r="P75" i="15"/>
  <c r="O75" i="15"/>
  <c r="R74" i="15"/>
  <c r="Q74" i="15"/>
  <c r="P74" i="15"/>
  <c r="O74" i="15"/>
  <c r="R73" i="15"/>
  <c r="Q73" i="15"/>
  <c r="P73" i="15"/>
  <c r="O73" i="15"/>
  <c r="R72" i="15"/>
  <c r="Q72" i="15"/>
  <c r="P72" i="15"/>
  <c r="O72" i="15"/>
  <c r="R71" i="15"/>
  <c r="Q71" i="15"/>
  <c r="P71" i="15"/>
  <c r="O71" i="15"/>
  <c r="R70" i="15"/>
  <c r="Q70" i="15"/>
  <c r="P70" i="15"/>
  <c r="O70" i="15"/>
  <c r="R69" i="15"/>
  <c r="Q69" i="15"/>
  <c r="P69" i="15"/>
  <c r="O69" i="15"/>
  <c r="R68" i="15"/>
  <c r="Q68" i="15"/>
  <c r="P68" i="15"/>
  <c r="O68" i="15"/>
  <c r="R67" i="15"/>
  <c r="Q67" i="15"/>
  <c r="P67" i="15"/>
  <c r="O67" i="15"/>
  <c r="R66" i="15"/>
  <c r="Q66" i="15"/>
  <c r="P66" i="15"/>
  <c r="O66" i="15"/>
  <c r="R65" i="15"/>
  <c r="Q65" i="15"/>
  <c r="P65" i="15"/>
  <c r="O65" i="15"/>
  <c r="R64" i="15"/>
  <c r="Q64" i="15"/>
  <c r="P64" i="15"/>
  <c r="O64" i="15"/>
  <c r="R63" i="15"/>
  <c r="Q63" i="15"/>
  <c r="P63" i="15"/>
  <c r="O63" i="15"/>
  <c r="R62" i="15"/>
  <c r="Q62" i="15"/>
  <c r="P62" i="15"/>
  <c r="O62" i="15"/>
  <c r="R61" i="15"/>
  <c r="Q61" i="15"/>
  <c r="P61" i="15"/>
  <c r="O61" i="15"/>
  <c r="R60" i="15"/>
  <c r="Q60" i="15"/>
  <c r="P60" i="15"/>
  <c r="O60" i="15"/>
  <c r="R59" i="15"/>
  <c r="Q59" i="15"/>
  <c r="P59" i="15"/>
  <c r="O59" i="15"/>
  <c r="R58" i="15"/>
  <c r="Q58" i="15"/>
  <c r="P58" i="15"/>
  <c r="O58" i="15"/>
  <c r="R57" i="15"/>
  <c r="Q57" i="15"/>
  <c r="P57" i="15"/>
  <c r="O57" i="15"/>
  <c r="R56" i="15"/>
  <c r="Q56" i="15"/>
  <c r="P56" i="15"/>
  <c r="O56" i="15"/>
  <c r="R55" i="15"/>
  <c r="Q55" i="15"/>
  <c r="P55" i="15"/>
  <c r="O55" i="15"/>
  <c r="R54" i="15"/>
  <c r="Q54" i="15"/>
  <c r="P54" i="15"/>
  <c r="O54" i="15"/>
  <c r="R53" i="15"/>
  <c r="Q53" i="15"/>
  <c r="P53" i="15"/>
  <c r="O53" i="15"/>
  <c r="R52" i="15"/>
  <c r="Q52" i="15"/>
  <c r="P52" i="15"/>
  <c r="O52" i="15"/>
  <c r="R51" i="15"/>
  <c r="Q51" i="15"/>
  <c r="P51" i="15"/>
  <c r="O51" i="15"/>
  <c r="R50" i="15"/>
  <c r="Q50" i="15"/>
  <c r="P50" i="15"/>
  <c r="O50" i="15"/>
  <c r="R49" i="15"/>
  <c r="Q49" i="15"/>
  <c r="P49" i="15"/>
  <c r="O49" i="15"/>
  <c r="R48" i="15"/>
  <c r="Q48" i="15"/>
  <c r="P48" i="15"/>
  <c r="O48" i="15"/>
  <c r="R47" i="15"/>
  <c r="Q47" i="15"/>
  <c r="P47" i="15"/>
  <c r="O47" i="15"/>
  <c r="R46" i="15"/>
  <c r="Q46" i="15"/>
  <c r="P46" i="15"/>
  <c r="O46" i="15"/>
  <c r="R45" i="15"/>
  <c r="Q45" i="15"/>
  <c r="P45" i="15"/>
  <c r="O45" i="15"/>
  <c r="R44" i="15"/>
  <c r="Q44" i="15"/>
  <c r="P44" i="15"/>
  <c r="O44" i="15"/>
  <c r="R43" i="15"/>
  <c r="Q43" i="15"/>
  <c r="P43" i="15"/>
  <c r="O43" i="15"/>
  <c r="R42" i="15"/>
  <c r="Q42" i="15"/>
  <c r="P42" i="15"/>
  <c r="O42" i="15"/>
  <c r="R41" i="15"/>
  <c r="Q41" i="15"/>
  <c r="P41" i="15"/>
  <c r="O41" i="15"/>
  <c r="R40" i="15"/>
  <c r="Q40" i="15"/>
  <c r="P40" i="15"/>
  <c r="O40" i="15"/>
  <c r="R39" i="15"/>
  <c r="Q39" i="15"/>
  <c r="P39" i="15"/>
  <c r="O39" i="15"/>
  <c r="R38" i="15"/>
  <c r="Q38" i="15"/>
  <c r="P38" i="15"/>
  <c r="O38" i="15"/>
  <c r="R37" i="15"/>
  <c r="Q37" i="15"/>
  <c r="P37" i="15"/>
  <c r="O37" i="15"/>
  <c r="R36" i="15"/>
  <c r="Q36" i="15"/>
  <c r="P36" i="15"/>
  <c r="O36" i="15"/>
  <c r="R35" i="15"/>
  <c r="Q35" i="15"/>
  <c r="P35" i="15"/>
  <c r="O35" i="15"/>
  <c r="R34" i="15"/>
  <c r="Q34" i="15"/>
  <c r="P34" i="15"/>
  <c r="O34" i="15"/>
  <c r="R33" i="15"/>
  <c r="Q33" i="15"/>
  <c r="P33" i="15"/>
  <c r="O33" i="15"/>
  <c r="R32" i="15"/>
  <c r="Q32" i="15"/>
  <c r="P32" i="15"/>
  <c r="O32" i="15"/>
  <c r="R31" i="15"/>
  <c r="Q31" i="15"/>
  <c r="P31" i="15"/>
  <c r="O31" i="15"/>
  <c r="R30" i="15"/>
  <c r="Q30" i="15"/>
  <c r="P30" i="15"/>
  <c r="O30" i="15"/>
  <c r="R29" i="15"/>
  <c r="Q29" i="15"/>
  <c r="P29" i="15"/>
  <c r="O29" i="15"/>
  <c r="R28" i="15"/>
  <c r="Q28" i="15"/>
  <c r="P28" i="15"/>
  <c r="O28" i="15"/>
  <c r="R27" i="15"/>
  <c r="Q27" i="15"/>
  <c r="P27" i="15"/>
  <c r="O27" i="15"/>
  <c r="R26" i="15"/>
  <c r="Q26" i="15"/>
  <c r="P26" i="15"/>
  <c r="O26" i="15"/>
  <c r="R25" i="15"/>
  <c r="Q25" i="15"/>
  <c r="P25" i="15"/>
  <c r="O25" i="15"/>
  <c r="R24" i="15"/>
  <c r="Q24" i="15"/>
  <c r="P24" i="15"/>
  <c r="O24" i="15"/>
  <c r="R23" i="15"/>
  <c r="Q23" i="15"/>
  <c r="P23" i="15"/>
  <c r="O23" i="15"/>
  <c r="R22" i="15"/>
  <c r="Q22" i="15"/>
  <c r="P22" i="15"/>
  <c r="O22" i="15"/>
  <c r="R21" i="15"/>
  <c r="Q21" i="15"/>
  <c r="P21" i="15"/>
  <c r="O21" i="15"/>
  <c r="R20" i="15"/>
  <c r="Q20" i="15"/>
  <c r="P20" i="15"/>
  <c r="O20" i="15"/>
  <c r="R19" i="15"/>
  <c r="Q19" i="15"/>
  <c r="P19" i="15"/>
  <c r="O19" i="15"/>
  <c r="R18" i="15"/>
  <c r="Q18" i="15"/>
  <c r="P18" i="15"/>
  <c r="O18" i="15"/>
  <c r="R17" i="15"/>
  <c r="Q17" i="15"/>
  <c r="P17" i="15"/>
  <c r="O17" i="15"/>
  <c r="R16" i="15"/>
  <c r="Q16" i="15"/>
  <c r="P16" i="15"/>
  <c r="O16" i="15"/>
  <c r="R15" i="15"/>
  <c r="Q15" i="15"/>
  <c r="P15" i="15"/>
  <c r="O15" i="15"/>
  <c r="R14" i="15"/>
  <c r="Q14" i="15"/>
  <c r="P14" i="15"/>
  <c r="O14" i="15"/>
  <c r="R13" i="15"/>
  <c r="Q13" i="15"/>
  <c r="P13" i="15"/>
  <c r="O13" i="15"/>
  <c r="R12" i="15"/>
  <c r="Q12" i="15"/>
  <c r="P12" i="15"/>
  <c r="O12" i="15"/>
  <c r="R11" i="15"/>
  <c r="Q11" i="15"/>
  <c r="P11" i="15"/>
  <c r="O11" i="15"/>
  <c r="R10" i="15"/>
  <c r="Q10" i="15"/>
  <c r="P10" i="15"/>
  <c r="O10" i="15"/>
  <c r="R9" i="15"/>
  <c r="Q9" i="15"/>
  <c r="P9" i="15"/>
  <c r="O9" i="15"/>
  <c r="R8" i="15"/>
  <c r="Q8" i="15"/>
  <c r="P8" i="15"/>
  <c r="O8" i="15"/>
  <c r="R7" i="15"/>
  <c r="Q7" i="15"/>
  <c r="P7" i="15"/>
  <c r="O7" i="15"/>
  <c r="R6" i="15"/>
  <c r="Q6" i="15"/>
  <c r="P6" i="15"/>
  <c r="O6" i="15"/>
  <c r="R5" i="15"/>
  <c r="Q5" i="15"/>
  <c r="P5" i="15"/>
  <c r="O5" i="15"/>
  <c r="R4" i="15"/>
  <c r="Q4" i="15"/>
  <c r="P4" i="15"/>
  <c r="O4" i="15"/>
  <c r="R3" i="15"/>
  <c r="Q3" i="15"/>
  <c r="P3" i="15"/>
  <c r="O3" i="15"/>
  <c r="R2" i="15"/>
  <c r="Q2" i="15"/>
  <c r="P2" i="15"/>
  <c r="O2" i="15"/>
  <c r="H5" i="5"/>
  <c r="F5" i="5"/>
  <c r="D5" i="5"/>
  <c r="B5" i="5"/>
  <c r="K98" i="16"/>
  <c r="J98" i="16"/>
  <c r="I98" i="16"/>
  <c r="H98" i="16"/>
  <c r="G98" i="16"/>
  <c r="F98" i="16"/>
  <c r="E98" i="16"/>
  <c r="D98" i="16"/>
  <c r="C98" i="16"/>
  <c r="B98" i="16"/>
  <c r="A98" i="16"/>
  <c r="K97" i="16"/>
  <c r="J97" i="16"/>
  <c r="I97" i="16"/>
  <c r="H97" i="16"/>
  <c r="G97" i="16"/>
  <c r="F97" i="16"/>
  <c r="E97" i="16"/>
  <c r="D97" i="16"/>
  <c r="C97" i="16"/>
  <c r="B97" i="16"/>
  <c r="A97" i="16"/>
  <c r="K96" i="16"/>
  <c r="J96" i="16"/>
  <c r="I96" i="16"/>
  <c r="H96" i="16"/>
  <c r="G96" i="16"/>
  <c r="F96" i="16"/>
  <c r="E96" i="16"/>
  <c r="D96" i="16"/>
  <c r="C96" i="16"/>
  <c r="B96" i="16"/>
  <c r="A96" i="16"/>
  <c r="K95" i="16"/>
  <c r="J95" i="16"/>
  <c r="I95" i="16"/>
  <c r="H95" i="16"/>
  <c r="G95" i="16"/>
  <c r="F95" i="16"/>
  <c r="E95" i="16"/>
  <c r="D95" i="16"/>
  <c r="C95" i="16"/>
  <c r="B95" i="16"/>
  <c r="A95" i="16"/>
  <c r="K94" i="16"/>
  <c r="J94" i="16"/>
  <c r="I94" i="16"/>
  <c r="H94" i="16"/>
  <c r="G94" i="16"/>
  <c r="F94" i="16"/>
  <c r="E94" i="16"/>
  <c r="D94" i="16"/>
  <c r="C94" i="16"/>
  <c r="B94" i="16"/>
  <c r="A94" i="16"/>
  <c r="K93" i="16"/>
  <c r="J93" i="16"/>
  <c r="I93" i="16"/>
  <c r="H93" i="16"/>
  <c r="G93" i="16"/>
  <c r="F93" i="16"/>
  <c r="E93" i="16"/>
  <c r="D93" i="16"/>
  <c r="C93" i="16"/>
  <c r="B93" i="16"/>
  <c r="A93" i="16"/>
  <c r="K92" i="16"/>
  <c r="J92" i="16"/>
  <c r="I92" i="16"/>
  <c r="H92" i="16"/>
  <c r="G92" i="16"/>
  <c r="F92" i="16"/>
  <c r="E92" i="16"/>
  <c r="D92" i="16"/>
  <c r="C92" i="16"/>
  <c r="B92" i="16"/>
  <c r="A92" i="16"/>
  <c r="K91" i="16"/>
  <c r="J91" i="16"/>
  <c r="I91" i="16"/>
  <c r="H91" i="16"/>
  <c r="G91" i="16"/>
  <c r="F91" i="16"/>
  <c r="E91" i="16"/>
  <c r="D91" i="16"/>
  <c r="C91" i="16"/>
  <c r="B91" i="16"/>
  <c r="A91" i="16"/>
  <c r="K90" i="16"/>
  <c r="J90" i="16"/>
  <c r="I90" i="16"/>
  <c r="H90" i="16"/>
  <c r="G90" i="16"/>
  <c r="F90" i="16"/>
  <c r="E90" i="16"/>
  <c r="D90" i="16"/>
  <c r="C90" i="16"/>
  <c r="B90" i="16"/>
  <c r="A90" i="16"/>
  <c r="K89" i="16"/>
  <c r="J89" i="16"/>
  <c r="I89" i="16"/>
  <c r="H89" i="16"/>
  <c r="G89" i="16"/>
  <c r="F89" i="16"/>
  <c r="E89" i="16"/>
  <c r="D89" i="16"/>
  <c r="C89" i="16"/>
  <c r="B89" i="16"/>
  <c r="A89" i="16"/>
  <c r="K88" i="16"/>
  <c r="J88" i="16"/>
  <c r="I88" i="16"/>
  <c r="H88" i="16"/>
  <c r="G88" i="16"/>
  <c r="F88" i="16"/>
  <c r="E88" i="16"/>
  <c r="D88" i="16"/>
  <c r="C88" i="16"/>
  <c r="B88" i="16"/>
  <c r="A88" i="16"/>
  <c r="K87" i="16"/>
  <c r="J87" i="16"/>
  <c r="I87" i="16"/>
  <c r="H87" i="16"/>
  <c r="G87" i="16"/>
  <c r="F87" i="16"/>
  <c r="E87" i="16"/>
  <c r="D87" i="16"/>
  <c r="C87" i="16"/>
  <c r="B87" i="16"/>
  <c r="A87" i="16"/>
  <c r="K86" i="16"/>
  <c r="J86" i="16"/>
  <c r="I86" i="16"/>
  <c r="H86" i="16"/>
  <c r="G86" i="16"/>
  <c r="F86" i="16"/>
  <c r="E86" i="16"/>
  <c r="D86" i="16"/>
  <c r="C86" i="16"/>
  <c r="B86" i="16"/>
  <c r="A86" i="16"/>
  <c r="K85" i="16"/>
  <c r="J85" i="16"/>
  <c r="I85" i="16"/>
  <c r="H85" i="16"/>
  <c r="G85" i="16"/>
  <c r="F85" i="16"/>
  <c r="E85" i="16"/>
  <c r="D85" i="16"/>
  <c r="C85" i="16"/>
  <c r="B85" i="16"/>
  <c r="A85" i="16"/>
  <c r="K84" i="16"/>
  <c r="J84" i="16"/>
  <c r="I84" i="16"/>
  <c r="H84" i="16"/>
  <c r="G84" i="16"/>
  <c r="F84" i="16"/>
  <c r="E84" i="16"/>
  <c r="D84" i="16"/>
  <c r="C84" i="16"/>
  <c r="B84" i="16"/>
  <c r="A84" i="16"/>
  <c r="K83" i="16"/>
  <c r="J83" i="16"/>
  <c r="I83" i="16"/>
  <c r="H83" i="16"/>
  <c r="G83" i="16"/>
  <c r="F83" i="16"/>
  <c r="E83" i="16"/>
  <c r="D83" i="16"/>
  <c r="C83" i="16"/>
  <c r="B83" i="16"/>
  <c r="A83" i="16"/>
  <c r="K82" i="16"/>
  <c r="J82" i="16"/>
  <c r="I82" i="16"/>
  <c r="H82" i="16"/>
  <c r="G82" i="16"/>
  <c r="F82" i="16"/>
  <c r="E82" i="16"/>
  <c r="D82" i="16"/>
  <c r="C82" i="16"/>
  <c r="B82" i="16"/>
  <c r="A82" i="16"/>
  <c r="K81" i="16"/>
  <c r="J81" i="16"/>
  <c r="I81" i="16"/>
  <c r="H81" i="16"/>
  <c r="G81" i="16"/>
  <c r="F81" i="16"/>
  <c r="E81" i="16"/>
  <c r="D81" i="16"/>
  <c r="C81" i="16"/>
  <c r="B81" i="16"/>
  <c r="A81" i="16"/>
  <c r="K80" i="16"/>
  <c r="J80" i="16"/>
  <c r="I80" i="16"/>
  <c r="H80" i="16"/>
  <c r="G80" i="16"/>
  <c r="F80" i="16"/>
  <c r="E80" i="16"/>
  <c r="D80" i="16"/>
  <c r="C80" i="16"/>
  <c r="B80" i="16"/>
  <c r="A80" i="16"/>
  <c r="K79" i="16"/>
  <c r="J79" i="16"/>
  <c r="I79" i="16"/>
  <c r="H79" i="16"/>
  <c r="G79" i="16"/>
  <c r="F79" i="16"/>
  <c r="E79" i="16"/>
  <c r="D79" i="16"/>
  <c r="C79" i="16"/>
  <c r="B79" i="16"/>
  <c r="A79" i="16"/>
  <c r="K78" i="16"/>
  <c r="J78" i="16"/>
  <c r="I78" i="16"/>
  <c r="H78" i="16"/>
  <c r="G78" i="16"/>
  <c r="F78" i="16"/>
  <c r="E78" i="16"/>
  <c r="D78" i="16"/>
  <c r="C78" i="16"/>
  <c r="B78" i="16"/>
  <c r="A78" i="16"/>
  <c r="K77" i="16"/>
  <c r="J77" i="16"/>
  <c r="I77" i="16"/>
  <c r="H77" i="16"/>
  <c r="G77" i="16"/>
  <c r="F77" i="16"/>
  <c r="E77" i="16"/>
  <c r="D77" i="16"/>
  <c r="C77" i="16"/>
  <c r="B77" i="16"/>
  <c r="A77" i="16"/>
  <c r="K76" i="16"/>
  <c r="J76" i="16"/>
  <c r="I76" i="16"/>
  <c r="H76" i="16"/>
  <c r="G76" i="16"/>
  <c r="F76" i="16"/>
  <c r="E76" i="16"/>
  <c r="D76" i="16"/>
  <c r="C76" i="16"/>
  <c r="B76" i="16"/>
  <c r="A76" i="16"/>
  <c r="K75" i="16"/>
  <c r="J75" i="16"/>
  <c r="I75" i="16"/>
  <c r="H75" i="16"/>
  <c r="G75" i="16"/>
  <c r="F75" i="16"/>
  <c r="E75" i="16"/>
  <c r="D75" i="16"/>
  <c r="C75" i="16"/>
  <c r="B75" i="16"/>
  <c r="A75" i="16"/>
  <c r="K74" i="16"/>
  <c r="J74" i="16"/>
  <c r="I74" i="16"/>
  <c r="H74" i="16"/>
  <c r="G74" i="16"/>
  <c r="F74" i="16"/>
  <c r="E74" i="16"/>
  <c r="D74" i="16"/>
  <c r="C74" i="16"/>
  <c r="B74" i="16"/>
  <c r="A74" i="16"/>
  <c r="K73" i="16"/>
  <c r="J73" i="16"/>
  <c r="I73" i="16"/>
  <c r="H73" i="16"/>
  <c r="G73" i="16"/>
  <c r="F73" i="16"/>
  <c r="E73" i="16"/>
  <c r="D73" i="16"/>
  <c r="C73" i="16"/>
  <c r="B73" i="16"/>
  <c r="A73" i="16"/>
  <c r="K72" i="16"/>
  <c r="J72" i="16"/>
  <c r="I72" i="16"/>
  <c r="H72" i="16"/>
  <c r="G72" i="16"/>
  <c r="F72" i="16"/>
  <c r="E72" i="16"/>
  <c r="D72" i="16"/>
  <c r="C72" i="16"/>
  <c r="B72" i="16"/>
  <c r="A72" i="16"/>
  <c r="K71" i="16"/>
  <c r="J71" i="16"/>
  <c r="I71" i="16"/>
  <c r="H71" i="16"/>
  <c r="G71" i="16"/>
  <c r="F71" i="16"/>
  <c r="E71" i="16"/>
  <c r="D71" i="16"/>
  <c r="C71" i="16"/>
  <c r="B71" i="16"/>
  <c r="A71" i="16"/>
  <c r="K70" i="16"/>
  <c r="J70" i="16"/>
  <c r="I70" i="16"/>
  <c r="H70" i="16"/>
  <c r="G70" i="16"/>
  <c r="F70" i="16"/>
  <c r="E70" i="16"/>
  <c r="D70" i="16"/>
  <c r="C70" i="16"/>
  <c r="B70" i="16"/>
  <c r="A70" i="16"/>
  <c r="K69" i="16"/>
  <c r="J69" i="16"/>
  <c r="I69" i="16"/>
  <c r="H69" i="16"/>
  <c r="G69" i="16"/>
  <c r="F69" i="16"/>
  <c r="E69" i="16"/>
  <c r="D69" i="16"/>
  <c r="C69" i="16"/>
  <c r="B69" i="16"/>
  <c r="A69" i="16"/>
  <c r="K68" i="16"/>
  <c r="J68" i="16"/>
  <c r="I68" i="16"/>
  <c r="H68" i="16"/>
  <c r="G68" i="16"/>
  <c r="F68" i="16"/>
  <c r="E68" i="16"/>
  <c r="D68" i="16"/>
  <c r="C68" i="16"/>
  <c r="B68" i="16"/>
  <c r="A68" i="16"/>
  <c r="K67" i="16"/>
  <c r="J67" i="16"/>
  <c r="I67" i="16"/>
  <c r="H67" i="16"/>
  <c r="G67" i="16"/>
  <c r="F67" i="16"/>
  <c r="E67" i="16"/>
  <c r="D67" i="16"/>
  <c r="C67" i="16"/>
  <c r="B67" i="16"/>
  <c r="A67" i="16"/>
  <c r="K66" i="16"/>
  <c r="J66" i="16"/>
  <c r="I66" i="16"/>
  <c r="H66" i="16"/>
  <c r="G66" i="16"/>
  <c r="F66" i="16"/>
  <c r="E66" i="16"/>
  <c r="D66" i="16"/>
  <c r="C66" i="16"/>
  <c r="B66" i="16"/>
  <c r="A66" i="16"/>
  <c r="K65" i="16"/>
  <c r="J65" i="16"/>
  <c r="I65" i="16"/>
  <c r="H65" i="16"/>
  <c r="G65" i="16"/>
  <c r="F65" i="16"/>
  <c r="E65" i="16"/>
  <c r="D65" i="16"/>
  <c r="C65" i="16"/>
  <c r="B65" i="16"/>
  <c r="A65" i="16"/>
  <c r="K64" i="16"/>
  <c r="J64" i="16"/>
  <c r="I64" i="16"/>
  <c r="H64" i="16"/>
  <c r="G64" i="16"/>
  <c r="F64" i="16"/>
  <c r="E64" i="16"/>
  <c r="D64" i="16"/>
  <c r="C64" i="16"/>
  <c r="B64" i="16"/>
  <c r="A64" i="16"/>
  <c r="K63" i="16"/>
  <c r="J63" i="16"/>
  <c r="I63" i="16"/>
  <c r="H63" i="16"/>
  <c r="G63" i="16"/>
  <c r="F63" i="16"/>
  <c r="E63" i="16"/>
  <c r="D63" i="16"/>
  <c r="C63" i="16"/>
  <c r="B63" i="16"/>
  <c r="A63" i="16"/>
  <c r="K62" i="16"/>
  <c r="J62" i="16"/>
  <c r="I62" i="16"/>
  <c r="H62" i="16"/>
  <c r="G62" i="16"/>
  <c r="F62" i="16"/>
  <c r="E62" i="16"/>
  <c r="D62" i="16"/>
  <c r="C62" i="16"/>
  <c r="B62" i="16"/>
  <c r="A62" i="16"/>
  <c r="K61" i="16"/>
  <c r="J61" i="16"/>
  <c r="I61" i="16"/>
  <c r="H61" i="16"/>
  <c r="G61" i="16"/>
  <c r="F61" i="16"/>
  <c r="E61" i="16"/>
  <c r="D61" i="16"/>
  <c r="C61" i="16"/>
  <c r="B61" i="16"/>
  <c r="A61" i="16"/>
  <c r="K60" i="16"/>
  <c r="J60" i="16"/>
  <c r="I60" i="16"/>
  <c r="H60" i="16"/>
  <c r="G60" i="16"/>
  <c r="F60" i="16"/>
  <c r="E60" i="16"/>
  <c r="D60" i="16"/>
  <c r="C60" i="16"/>
  <c r="B60" i="16"/>
  <c r="A60" i="16"/>
  <c r="K59" i="16"/>
  <c r="J59" i="16"/>
  <c r="I59" i="16"/>
  <c r="H59" i="16"/>
  <c r="G59" i="16"/>
  <c r="F59" i="16"/>
  <c r="E59" i="16"/>
  <c r="D59" i="16"/>
  <c r="C59" i="16"/>
  <c r="B59" i="16"/>
  <c r="A59" i="16"/>
  <c r="K58" i="16"/>
  <c r="J58" i="16"/>
  <c r="I58" i="16"/>
  <c r="H58" i="16"/>
  <c r="G58" i="16"/>
  <c r="F58" i="16"/>
  <c r="E58" i="16"/>
  <c r="D58" i="16"/>
  <c r="C58" i="16"/>
  <c r="B58" i="16"/>
  <c r="A58" i="16"/>
  <c r="K57" i="16"/>
  <c r="J57" i="16"/>
  <c r="I57" i="16"/>
  <c r="H57" i="16"/>
  <c r="G57" i="16"/>
  <c r="F57" i="16"/>
  <c r="E57" i="16"/>
  <c r="D57" i="16"/>
  <c r="C57" i="16"/>
  <c r="B57" i="16"/>
  <c r="A57" i="16"/>
  <c r="K56" i="16"/>
  <c r="J56" i="16"/>
  <c r="I56" i="16"/>
  <c r="H56" i="16"/>
  <c r="G56" i="16"/>
  <c r="F56" i="16"/>
  <c r="E56" i="16"/>
  <c r="D56" i="16"/>
  <c r="C56" i="16"/>
  <c r="B56" i="16"/>
  <c r="A56" i="16"/>
  <c r="K55" i="16"/>
  <c r="J55" i="16"/>
  <c r="I55" i="16"/>
  <c r="H55" i="16"/>
  <c r="G55" i="16"/>
  <c r="F55" i="16"/>
  <c r="E55" i="16"/>
  <c r="D55" i="16"/>
  <c r="C55" i="16"/>
  <c r="B55" i="16"/>
  <c r="A55" i="16"/>
  <c r="K54" i="16"/>
  <c r="J54" i="16"/>
  <c r="I54" i="16"/>
  <c r="H54" i="16"/>
  <c r="G54" i="16"/>
  <c r="F54" i="16"/>
  <c r="E54" i="16"/>
  <c r="D54" i="16"/>
  <c r="C54" i="16"/>
  <c r="B54" i="16"/>
  <c r="A54" i="16"/>
  <c r="K53" i="16"/>
  <c r="J53" i="16"/>
  <c r="I53" i="16"/>
  <c r="H53" i="16"/>
  <c r="G53" i="16"/>
  <c r="F53" i="16"/>
  <c r="E53" i="16"/>
  <c r="D53" i="16"/>
  <c r="C53" i="16"/>
  <c r="B53" i="16"/>
  <c r="A53" i="16"/>
  <c r="K52" i="16"/>
  <c r="J52" i="16"/>
  <c r="I52" i="16"/>
  <c r="H52" i="16"/>
  <c r="G52" i="16"/>
  <c r="F52" i="16"/>
  <c r="E52" i="16"/>
  <c r="D52" i="16"/>
  <c r="C52" i="16"/>
  <c r="B52" i="16"/>
  <c r="A52" i="16"/>
  <c r="K51" i="16"/>
  <c r="J51" i="16"/>
  <c r="I51" i="16"/>
  <c r="H51" i="16"/>
  <c r="G51" i="16"/>
  <c r="F51" i="16"/>
  <c r="E51" i="16"/>
  <c r="D51" i="16"/>
  <c r="C51" i="16"/>
  <c r="B51" i="16"/>
  <c r="A51" i="16"/>
  <c r="K50" i="16"/>
  <c r="J50" i="16"/>
  <c r="I50" i="16"/>
  <c r="H50" i="16"/>
  <c r="G50" i="16"/>
  <c r="F50" i="16"/>
  <c r="E50" i="16"/>
  <c r="D50" i="16"/>
  <c r="C50" i="16"/>
  <c r="B50" i="16"/>
  <c r="A50" i="16"/>
  <c r="K49" i="16"/>
  <c r="J49" i="16"/>
  <c r="I49" i="16"/>
  <c r="H49" i="16"/>
  <c r="G49" i="16"/>
  <c r="F49" i="16"/>
  <c r="E49" i="16"/>
  <c r="D49" i="16"/>
  <c r="C49" i="16"/>
  <c r="B49" i="16"/>
  <c r="A49" i="16"/>
  <c r="K48" i="16"/>
  <c r="J48" i="16"/>
  <c r="I48" i="16"/>
  <c r="H48" i="16"/>
  <c r="G48" i="16"/>
  <c r="F48" i="16"/>
  <c r="E48" i="16"/>
  <c r="D48" i="16"/>
  <c r="C48" i="16"/>
  <c r="B48" i="16"/>
  <c r="A48" i="16"/>
  <c r="K47" i="16"/>
  <c r="J47" i="16"/>
  <c r="I47" i="16"/>
  <c r="H47" i="16"/>
  <c r="G47" i="16"/>
  <c r="F47" i="16"/>
  <c r="E47" i="16"/>
  <c r="D47" i="16"/>
  <c r="C47" i="16"/>
  <c r="B47" i="16"/>
  <c r="A47" i="16"/>
  <c r="K46" i="16"/>
  <c r="J46" i="16"/>
  <c r="I46" i="16"/>
  <c r="H46" i="16"/>
  <c r="G46" i="16"/>
  <c r="F46" i="16"/>
  <c r="E46" i="16"/>
  <c r="D46" i="16"/>
  <c r="C46" i="16"/>
  <c r="B46" i="16"/>
  <c r="A46" i="16"/>
  <c r="K45" i="16"/>
  <c r="J45" i="16"/>
  <c r="I45" i="16"/>
  <c r="H45" i="16"/>
  <c r="G45" i="16"/>
  <c r="F45" i="16"/>
  <c r="E45" i="16"/>
  <c r="D45" i="16"/>
  <c r="C45" i="16"/>
  <c r="B45" i="16"/>
  <c r="A45" i="16"/>
  <c r="K44" i="16"/>
  <c r="J44" i="16"/>
  <c r="I44" i="16"/>
  <c r="H44" i="16"/>
  <c r="G44" i="16"/>
  <c r="F44" i="16"/>
  <c r="E44" i="16"/>
  <c r="D44" i="16"/>
  <c r="C44" i="16"/>
  <c r="B44" i="16"/>
  <c r="A44" i="16"/>
  <c r="K43" i="16"/>
  <c r="J43" i="16"/>
  <c r="I43" i="16"/>
  <c r="H43" i="16"/>
  <c r="G43" i="16"/>
  <c r="F43" i="16"/>
  <c r="E43" i="16"/>
  <c r="D43" i="16"/>
  <c r="C43" i="16"/>
  <c r="B43" i="16"/>
  <c r="A43" i="16"/>
  <c r="K42" i="16"/>
  <c r="J42" i="16"/>
  <c r="I42" i="16"/>
  <c r="H42" i="16"/>
  <c r="G42" i="16"/>
  <c r="F42" i="16"/>
  <c r="E42" i="16"/>
  <c r="D42" i="16"/>
  <c r="C42" i="16"/>
  <c r="B42" i="16"/>
  <c r="A42" i="16"/>
  <c r="K41" i="16"/>
  <c r="J41" i="16"/>
  <c r="I41" i="16"/>
  <c r="H41" i="16"/>
  <c r="G41" i="16"/>
  <c r="F41" i="16"/>
  <c r="E41" i="16"/>
  <c r="D41" i="16"/>
  <c r="C41" i="16"/>
  <c r="B41" i="16"/>
  <c r="A41" i="16"/>
  <c r="K40" i="16"/>
  <c r="J40" i="16"/>
  <c r="I40" i="16"/>
  <c r="H40" i="16"/>
  <c r="G40" i="16"/>
  <c r="F40" i="16"/>
  <c r="E40" i="16"/>
  <c r="D40" i="16"/>
  <c r="C40" i="16"/>
  <c r="B40" i="16"/>
  <c r="A40" i="16"/>
  <c r="K39" i="16"/>
  <c r="J39" i="16"/>
  <c r="I39" i="16"/>
  <c r="H39" i="16"/>
  <c r="G39" i="16"/>
  <c r="F39" i="16"/>
  <c r="E39" i="16"/>
  <c r="D39" i="16"/>
  <c r="C39" i="16"/>
  <c r="B39" i="16"/>
  <c r="A39" i="16"/>
  <c r="K38" i="16"/>
  <c r="J38" i="16"/>
  <c r="I38" i="16"/>
  <c r="H38" i="16"/>
  <c r="G38" i="16"/>
  <c r="F38" i="16"/>
  <c r="E38" i="16"/>
  <c r="D38" i="16"/>
  <c r="C38" i="16"/>
  <c r="B38" i="16"/>
  <c r="A38" i="16"/>
  <c r="K37" i="16"/>
  <c r="J37" i="16"/>
  <c r="I37" i="16"/>
  <c r="H37" i="16"/>
  <c r="G37" i="16"/>
  <c r="F37" i="16"/>
  <c r="E37" i="16"/>
  <c r="D37" i="16"/>
  <c r="C37" i="16"/>
  <c r="B37" i="16"/>
  <c r="A37" i="16"/>
  <c r="K36" i="16"/>
  <c r="J36" i="16"/>
  <c r="I36" i="16"/>
  <c r="H36" i="16"/>
  <c r="G36" i="16"/>
  <c r="F36" i="16"/>
  <c r="E36" i="16"/>
  <c r="D36" i="16"/>
  <c r="C36" i="16"/>
  <c r="B36" i="16"/>
  <c r="A36" i="16"/>
  <c r="K35" i="16"/>
  <c r="J35" i="16"/>
  <c r="I35" i="16"/>
  <c r="H35" i="16"/>
  <c r="G35" i="16"/>
  <c r="F35" i="16"/>
  <c r="E35" i="16"/>
  <c r="D35" i="16"/>
  <c r="C35" i="16"/>
  <c r="B35" i="16"/>
  <c r="A35" i="16"/>
  <c r="K34" i="16"/>
  <c r="J34" i="16"/>
  <c r="I34" i="16"/>
  <c r="H34" i="16"/>
  <c r="G34" i="16"/>
  <c r="F34" i="16"/>
  <c r="E34" i="16"/>
  <c r="D34" i="16"/>
  <c r="C34" i="16"/>
  <c r="B34" i="16"/>
  <c r="A34" i="16"/>
  <c r="K33" i="16"/>
  <c r="J33" i="16"/>
  <c r="I33" i="16"/>
  <c r="H33" i="16"/>
  <c r="G33" i="16"/>
  <c r="F33" i="16"/>
  <c r="E33" i="16"/>
  <c r="D33" i="16"/>
  <c r="C33" i="16"/>
  <c r="B33" i="16"/>
  <c r="A33" i="16"/>
  <c r="K32" i="16"/>
  <c r="J32" i="16"/>
  <c r="I32" i="16"/>
  <c r="H32" i="16"/>
  <c r="G32" i="16"/>
  <c r="F32" i="16"/>
  <c r="E32" i="16"/>
  <c r="D32" i="16"/>
  <c r="C32" i="16"/>
  <c r="B32" i="16"/>
  <c r="A32" i="16"/>
  <c r="K31" i="16"/>
  <c r="J31" i="16"/>
  <c r="I31" i="16"/>
  <c r="H31" i="16"/>
  <c r="G31" i="16"/>
  <c r="F31" i="16"/>
  <c r="E31" i="16"/>
  <c r="D31" i="16"/>
  <c r="C31" i="16"/>
  <c r="B31" i="16"/>
  <c r="A31" i="16"/>
  <c r="K30" i="16"/>
  <c r="J30" i="16"/>
  <c r="I30" i="16"/>
  <c r="H30" i="16"/>
  <c r="G30" i="16"/>
  <c r="F30" i="16"/>
  <c r="E30" i="16"/>
  <c r="D30" i="16"/>
  <c r="C30" i="16"/>
  <c r="B30" i="16"/>
  <c r="A30" i="16"/>
  <c r="K29" i="16"/>
  <c r="J29" i="16"/>
  <c r="I29" i="16"/>
  <c r="H29" i="16"/>
  <c r="G29" i="16"/>
  <c r="F29" i="16"/>
  <c r="E29" i="16"/>
  <c r="D29" i="16"/>
  <c r="C29" i="16"/>
  <c r="B29" i="16"/>
  <c r="A29" i="16"/>
  <c r="K28" i="16"/>
  <c r="J28" i="16"/>
  <c r="I28" i="16"/>
  <c r="H28" i="16"/>
  <c r="G28" i="16"/>
  <c r="F28" i="16"/>
  <c r="E28" i="16"/>
  <c r="D28" i="16"/>
  <c r="C28" i="16"/>
  <c r="B28" i="16"/>
  <c r="A28" i="16"/>
  <c r="K27" i="16"/>
  <c r="J27" i="16"/>
  <c r="I27" i="16"/>
  <c r="H27" i="16"/>
  <c r="G27" i="16"/>
  <c r="F27" i="16"/>
  <c r="E27" i="16"/>
  <c r="D27" i="16"/>
  <c r="C27" i="16"/>
  <c r="B27" i="16"/>
  <c r="A27" i="16"/>
  <c r="K26" i="16"/>
  <c r="J26" i="16"/>
  <c r="I26" i="16"/>
  <c r="H26" i="16"/>
  <c r="G26" i="16"/>
  <c r="F26" i="16"/>
  <c r="E26" i="16"/>
  <c r="D26" i="16"/>
  <c r="C26" i="16"/>
  <c r="B26" i="16"/>
  <c r="A26" i="16"/>
  <c r="K25" i="16"/>
  <c r="J25" i="16"/>
  <c r="I25" i="16"/>
  <c r="H25" i="16"/>
  <c r="G25" i="16"/>
  <c r="F25" i="16"/>
  <c r="E25" i="16"/>
  <c r="D25" i="16"/>
  <c r="C25" i="16"/>
  <c r="B25" i="16"/>
  <c r="A25" i="16"/>
  <c r="K24" i="16"/>
  <c r="J24" i="16"/>
  <c r="I24" i="16"/>
  <c r="H24" i="16"/>
  <c r="G24" i="16"/>
  <c r="F24" i="16"/>
  <c r="E24" i="16"/>
  <c r="D24" i="16"/>
  <c r="C24" i="16"/>
  <c r="B24" i="16"/>
  <c r="A24" i="16"/>
  <c r="K23" i="16"/>
  <c r="J23" i="16"/>
  <c r="I23" i="16"/>
  <c r="H23" i="16"/>
  <c r="G23" i="16"/>
  <c r="F23" i="16"/>
  <c r="E23" i="16"/>
  <c r="D23" i="16"/>
  <c r="C23" i="16"/>
  <c r="B23" i="16"/>
  <c r="A23" i="16"/>
  <c r="K22" i="16"/>
  <c r="J22" i="16"/>
  <c r="I22" i="16"/>
  <c r="H22" i="16"/>
  <c r="G22" i="16"/>
  <c r="F22" i="16"/>
  <c r="E22" i="16"/>
  <c r="D22" i="16"/>
  <c r="C22" i="16"/>
  <c r="B22" i="16"/>
  <c r="A22" i="16"/>
  <c r="K21" i="16"/>
  <c r="J21" i="16"/>
  <c r="I21" i="16"/>
  <c r="H21" i="16"/>
  <c r="G21" i="16"/>
  <c r="F21" i="16"/>
  <c r="E21" i="16"/>
  <c r="D21" i="16"/>
  <c r="C21" i="16"/>
  <c r="B21" i="16"/>
  <c r="A21" i="16"/>
  <c r="K20" i="16"/>
  <c r="J20" i="16"/>
  <c r="I20" i="16"/>
  <c r="H20" i="16"/>
  <c r="G20" i="16"/>
  <c r="F20" i="16"/>
  <c r="E20" i="16"/>
  <c r="D20" i="16"/>
  <c r="C20" i="16"/>
  <c r="B20" i="16"/>
  <c r="A20" i="16"/>
  <c r="K19" i="16"/>
  <c r="J19" i="16"/>
  <c r="I19" i="16"/>
  <c r="H19" i="16"/>
  <c r="G19" i="16"/>
  <c r="F19" i="16"/>
  <c r="E19" i="16"/>
  <c r="D19" i="16"/>
  <c r="C19" i="16"/>
  <c r="B19" i="16"/>
  <c r="A19" i="16"/>
  <c r="K18" i="16"/>
  <c r="J18" i="16"/>
  <c r="I18" i="16"/>
  <c r="H18" i="16"/>
  <c r="G18" i="16"/>
  <c r="F18" i="16"/>
  <c r="E18" i="16"/>
  <c r="D18" i="16"/>
  <c r="C18" i="16"/>
  <c r="B18" i="16"/>
  <c r="A18" i="16"/>
  <c r="K17" i="16"/>
  <c r="J17" i="16"/>
  <c r="I17" i="16"/>
  <c r="H17" i="16"/>
  <c r="G17" i="16"/>
  <c r="F17" i="16"/>
  <c r="E17" i="16"/>
  <c r="D17" i="16"/>
  <c r="C17" i="16"/>
  <c r="B17" i="16"/>
  <c r="A17" i="16"/>
  <c r="K16" i="16"/>
  <c r="J16" i="16"/>
  <c r="I16" i="16"/>
  <c r="H16" i="16"/>
  <c r="G16" i="16"/>
  <c r="F16" i="16"/>
  <c r="E16" i="16"/>
  <c r="D16" i="16"/>
  <c r="C16" i="16"/>
  <c r="B16" i="16"/>
  <c r="A16" i="16"/>
  <c r="K15" i="16"/>
  <c r="J15" i="16"/>
  <c r="I15" i="16"/>
  <c r="H15" i="16"/>
  <c r="G15" i="16"/>
  <c r="F15" i="16"/>
  <c r="E15" i="16"/>
  <c r="D15" i="16"/>
  <c r="C15" i="16"/>
  <c r="B15" i="16"/>
  <c r="A15" i="16"/>
  <c r="K14" i="16"/>
  <c r="J14" i="16"/>
  <c r="I14" i="16"/>
  <c r="H14" i="16"/>
  <c r="G14" i="16"/>
  <c r="F14" i="16"/>
  <c r="E14" i="16"/>
  <c r="D14" i="16"/>
  <c r="C14" i="16"/>
  <c r="B14" i="16"/>
  <c r="A14" i="16"/>
  <c r="K13" i="16"/>
  <c r="J13" i="16"/>
  <c r="I13" i="16"/>
  <c r="H13" i="16"/>
  <c r="G13" i="16"/>
  <c r="F13" i="16"/>
  <c r="E13" i="16"/>
  <c r="D13" i="16"/>
  <c r="C13" i="16"/>
  <c r="B13" i="16"/>
  <c r="A13" i="16"/>
  <c r="K12" i="16"/>
  <c r="J12" i="16"/>
  <c r="I12" i="16"/>
  <c r="H12" i="16"/>
  <c r="G12" i="16"/>
  <c r="F12" i="16"/>
  <c r="E12" i="16"/>
  <c r="D12" i="16"/>
  <c r="C12" i="16"/>
  <c r="B12" i="16"/>
  <c r="A12" i="16"/>
  <c r="K11" i="16"/>
  <c r="J11" i="16"/>
  <c r="I11" i="16"/>
  <c r="H11" i="16"/>
  <c r="G11" i="16"/>
  <c r="F11" i="16"/>
  <c r="E11" i="16"/>
  <c r="D11" i="16"/>
  <c r="C11" i="16"/>
  <c r="B11" i="16"/>
  <c r="A11" i="16"/>
  <c r="K10" i="16"/>
  <c r="J10" i="16"/>
  <c r="I10" i="16"/>
  <c r="H10" i="16"/>
  <c r="G10" i="16"/>
  <c r="F10" i="16"/>
  <c r="E10" i="16"/>
  <c r="D10" i="16"/>
  <c r="C10" i="16"/>
  <c r="B10" i="16"/>
  <c r="A10" i="16"/>
  <c r="K9" i="16"/>
  <c r="J9" i="16"/>
  <c r="I9" i="16"/>
  <c r="H9" i="16"/>
  <c r="G9" i="16"/>
  <c r="F9" i="16"/>
  <c r="E9" i="16"/>
  <c r="D9" i="16"/>
  <c r="C9" i="16"/>
  <c r="B9" i="16"/>
  <c r="A9" i="16"/>
  <c r="K8" i="16"/>
  <c r="J8" i="16"/>
  <c r="I8" i="16"/>
  <c r="H8" i="16"/>
  <c r="G8" i="16"/>
  <c r="F8" i="16"/>
  <c r="E8" i="16"/>
  <c r="D8" i="16"/>
  <c r="C8" i="16"/>
  <c r="B8" i="16"/>
  <c r="A8" i="16"/>
  <c r="K7" i="16"/>
  <c r="J7" i="16"/>
  <c r="I7" i="16"/>
  <c r="H7" i="16"/>
  <c r="G7" i="16"/>
  <c r="F7" i="16"/>
  <c r="E7" i="16"/>
  <c r="D7" i="16"/>
  <c r="C7" i="16"/>
  <c r="B7" i="16"/>
  <c r="A7" i="16"/>
  <c r="K6" i="16"/>
  <c r="J6" i="16"/>
  <c r="I6" i="16"/>
  <c r="H6" i="16"/>
  <c r="G6" i="16"/>
  <c r="F6" i="16"/>
  <c r="E6" i="16"/>
  <c r="D6" i="16"/>
  <c r="C6" i="16"/>
  <c r="B6" i="16"/>
  <c r="A6" i="16"/>
  <c r="K5" i="16"/>
  <c r="J5" i="16"/>
  <c r="I5" i="16"/>
  <c r="H5" i="16"/>
  <c r="G5" i="16"/>
  <c r="F5" i="16"/>
  <c r="E5" i="16"/>
  <c r="D5" i="16"/>
  <c r="C5" i="16"/>
  <c r="B5" i="16"/>
  <c r="A5" i="16"/>
  <c r="K4" i="16"/>
  <c r="J4" i="16"/>
  <c r="I4" i="16"/>
  <c r="H4" i="16"/>
  <c r="G4" i="16"/>
  <c r="F4" i="16"/>
  <c r="E4" i="16"/>
  <c r="D4" i="16"/>
  <c r="C4" i="16"/>
  <c r="B4" i="16"/>
  <c r="A4" i="16"/>
  <c r="AA51" i="15"/>
  <c r="AA50" i="15"/>
  <c r="AA49" i="15"/>
  <c r="AA48" i="15"/>
  <c r="AA47" i="15"/>
  <c r="AA46" i="15"/>
  <c r="AA45" i="15"/>
  <c r="AA44" i="15"/>
  <c r="AA43" i="15"/>
  <c r="AA42" i="15"/>
  <c r="AA41" i="15"/>
  <c r="AA40" i="15"/>
  <c r="AA39" i="15"/>
  <c r="AA38" i="15"/>
  <c r="AA37" i="15"/>
  <c r="AA36" i="15"/>
  <c r="AA35" i="15"/>
  <c r="AA34" i="15"/>
  <c r="AA33" i="15"/>
  <c r="AA32" i="15"/>
  <c r="AA31" i="15"/>
  <c r="AA30" i="15"/>
  <c r="AA29" i="15"/>
  <c r="AA28" i="15"/>
  <c r="AA27" i="15"/>
  <c r="AA26" i="15"/>
  <c r="AA25" i="15"/>
  <c r="AA24" i="15"/>
  <c r="AA23" i="15"/>
  <c r="AA22" i="15"/>
  <c r="AA21" i="15"/>
  <c r="AA20" i="15"/>
  <c r="AA19" i="15"/>
  <c r="AA18" i="15"/>
  <c r="AA17" i="15"/>
  <c r="AA16" i="15"/>
  <c r="AA15" i="15"/>
  <c r="AA14" i="15"/>
  <c r="AA13" i="15"/>
  <c r="AA12" i="15"/>
  <c r="AA11" i="15"/>
  <c r="AA10" i="15"/>
  <c r="AA9" i="15"/>
  <c r="AA8" i="15"/>
  <c r="AA7" i="15"/>
  <c r="AA6" i="15"/>
  <c r="AA5" i="15"/>
  <c r="AA4" i="15"/>
  <c r="AA3" i="15"/>
  <c r="AA2" i="15"/>
  <c r="W2" i="15"/>
  <c r="U2" i="15"/>
  <c r="T251" i="15"/>
  <c r="T250" i="15"/>
  <c r="T249" i="15"/>
  <c r="T248" i="15"/>
  <c r="T247" i="15"/>
  <c r="T246" i="15"/>
  <c r="T245" i="15"/>
  <c r="T244" i="15"/>
  <c r="T243" i="15"/>
  <c r="T242" i="15"/>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215" i="15"/>
  <c r="T214" i="15"/>
  <c r="T213" i="15"/>
  <c r="T212" i="15"/>
  <c r="T211" i="15"/>
  <c r="T210" i="15"/>
  <c r="T209" i="15"/>
  <c r="T208" i="15"/>
  <c r="T207" i="15"/>
  <c r="T206" i="15"/>
  <c r="T205" i="15"/>
  <c r="T204" i="15"/>
  <c r="T203" i="15"/>
  <c r="T202" i="15"/>
  <c r="T201" i="15"/>
  <c r="T200" i="15"/>
  <c r="T199" i="15"/>
  <c r="T198" i="15"/>
  <c r="T197" i="15"/>
  <c r="T196" i="15"/>
  <c r="T195" i="15"/>
  <c r="T194" i="15"/>
  <c r="T193" i="15"/>
  <c r="T192" i="15"/>
  <c r="T191" i="15"/>
  <c r="T190" i="15"/>
  <c r="T189" i="15"/>
  <c r="T188" i="15"/>
  <c r="T187" i="15"/>
  <c r="T186" i="15"/>
  <c r="T185" i="15"/>
  <c r="T184"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T151" i="15"/>
  <c r="T150" i="15"/>
  <c r="T149" i="15"/>
  <c r="T148" i="15"/>
  <c r="T147" i="15"/>
  <c r="T146" i="15"/>
  <c r="T145" i="15"/>
  <c r="T144" i="15"/>
  <c r="T143" i="15"/>
  <c r="T142" i="15"/>
  <c r="T141" i="15"/>
  <c r="T140" i="15"/>
  <c r="T139" i="15"/>
  <c r="T138" i="15"/>
  <c r="T137" i="15"/>
  <c r="T136" i="15"/>
  <c r="T135" i="15"/>
  <c r="T134" i="15"/>
  <c r="T133" i="15"/>
  <c r="T132" i="15"/>
  <c r="T131" i="15"/>
  <c r="T130" i="15"/>
  <c r="T129" i="15"/>
  <c r="T128" i="15"/>
  <c r="T127" i="15"/>
  <c r="T126" i="15"/>
  <c r="T125" i="15"/>
  <c r="T124" i="15"/>
  <c r="T123" i="15"/>
  <c r="T122" i="15"/>
  <c r="T121" i="15"/>
  <c r="T120" i="15"/>
  <c r="T119"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92" i="15"/>
  <c r="T91" i="15"/>
  <c r="T90" i="15"/>
  <c r="T89" i="15"/>
  <c r="T88" i="15"/>
  <c r="T87" i="15"/>
  <c r="T86" i="15"/>
  <c r="T85" i="15"/>
  <c r="T84" i="15"/>
  <c r="T83" i="15"/>
  <c r="T82" i="15"/>
  <c r="T81" i="15"/>
  <c r="T80" i="15"/>
  <c r="T79" i="15"/>
  <c r="T78" i="15"/>
  <c r="T77" i="15"/>
  <c r="T76" i="15"/>
  <c r="T75" i="15"/>
  <c r="T74"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47" i="15"/>
  <c r="T46" i="15"/>
  <c r="T45" i="15"/>
  <c r="T44" i="15"/>
  <c r="T43" i="15"/>
  <c r="T42" i="15"/>
  <c r="T41" i="15"/>
  <c r="T40" i="15"/>
  <c r="T39" i="15"/>
  <c r="T38" i="15"/>
  <c r="T37" i="15"/>
  <c r="T36" i="15"/>
  <c r="T35" i="15"/>
  <c r="T34" i="15"/>
  <c r="T33" i="15"/>
  <c r="T32" i="15"/>
  <c r="T31" i="15"/>
  <c r="T30" i="15"/>
  <c r="T29" i="15"/>
  <c r="T28" i="15"/>
  <c r="T27" i="15"/>
  <c r="T26" i="15"/>
  <c r="T25" i="15"/>
  <c r="T24" i="15"/>
  <c r="T23" i="15"/>
  <c r="T22" i="15"/>
  <c r="T21" i="15"/>
  <c r="T20" i="15"/>
  <c r="T19" i="15"/>
  <c r="T18" i="15"/>
  <c r="T17" i="15"/>
  <c r="T16" i="15"/>
  <c r="T15" i="15"/>
  <c r="T14" i="15"/>
  <c r="T13" i="15"/>
  <c r="T12" i="15"/>
  <c r="T11" i="15"/>
  <c r="T10" i="15"/>
  <c r="T9" i="15"/>
  <c r="T8" i="15"/>
  <c r="T7" i="15"/>
  <c r="T6" i="15"/>
  <c r="T5" i="15"/>
  <c r="T4" i="15"/>
  <c r="T3" i="15"/>
  <c r="T2" i="15"/>
  <c r="S7" i="15"/>
  <c r="S6" i="15"/>
  <c r="S5" i="15"/>
  <c r="S4" i="15"/>
  <c r="S3" i="15"/>
  <c r="S2" i="15"/>
  <c r="AB13" i="15" l="1"/>
  <c r="AC13" i="15" s="1"/>
  <c r="AB7" i="15"/>
  <c r="AC7" i="15" s="1"/>
  <c r="AB3" i="15"/>
  <c r="AC3" i="15" s="1"/>
  <c r="AB4" i="15"/>
  <c r="AC4" i="15" s="1"/>
  <c r="AB5" i="15"/>
  <c r="AC5" i="15" s="1"/>
  <c r="AB6" i="15"/>
  <c r="AC6" i="15" s="1"/>
  <c r="AB8" i="15"/>
  <c r="AC8" i="15" s="1"/>
  <c r="AB9" i="15"/>
  <c r="AC9" i="15" s="1"/>
  <c r="AB10" i="15"/>
  <c r="AC10" i="15" s="1"/>
  <c r="AB11" i="15"/>
  <c r="AC11" i="15" s="1"/>
  <c r="AB12" i="15"/>
  <c r="AC12" i="15" s="1"/>
  <c r="AB14" i="15"/>
  <c r="AC14" i="15" s="1"/>
  <c r="AB15" i="15"/>
  <c r="AC15" i="15" s="1"/>
  <c r="AB16" i="15"/>
  <c r="AC16" i="15" s="1"/>
  <c r="AB17" i="15"/>
  <c r="AC17" i="15" s="1"/>
  <c r="AB18" i="15"/>
  <c r="AC18" i="15" s="1"/>
  <c r="AB19" i="15"/>
  <c r="AC19" i="15" s="1"/>
  <c r="AB20" i="15"/>
  <c r="AC20" i="15" s="1"/>
  <c r="AB21" i="15"/>
  <c r="AC21" i="15" s="1"/>
  <c r="AB22" i="15"/>
  <c r="AC22" i="15" s="1"/>
  <c r="AB23" i="15"/>
  <c r="AC23" i="15" s="1"/>
  <c r="AB24" i="15"/>
  <c r="AC24" i="15" s="1"/>
  <c r="AB25" i="15"/>
  <c r="AC25" i="15" s="1"/>
  <c r="AB26" i="15"/>
  <c r="AC26" i="15" s="1"/>
  <c r="AB27" i="15"/>
  <c r="AC27" i="15" s="1"/>
  <c r="AB28" i="15"/>
  <c r="AC28" i="15" s="1"/>
  <c r="AB29" i="15"/>
  <c r="AC29" i="15" s="1"/>
  <c r="AB30" i="15"/>
  <c r="AC30" i="15" s="1"/>
  <c r="AB31" i="15"/>
  <c r="AC31" i="15" s="1"/>
  <c r="AB32" i="15"/>
  <c r="AC32" i="15" s="1"/>
  <c r="AB33" i="15"/>
  <c r="AC33" i="15" s="1"/>
  <c r="AB34" i="15"/>
  <c r="AC34" i="15" s="1"/>
  <c r="AB35" i="15"/>
  <c r="AC35" i="15" s="1"/>
  <c r="AB36" i="15"/>
  <c r="AC36" i="15" s="1"/>
  <c r="AB37" i="15"/>
  <c r="AC37" i="15" s="1"/>
  <c r="AB38" i="15"/>
  <c r="AC38" i="15" s="1"/>
  <c r="AB39" i="15"/>
  <c r="AC39" i="15" s="1"/>
  <c r="AB40" i="15"/>
  <c r="AC40" i="15" s="1"/>
  <c r="AB41" i="15"/>
  <c r="AC41" i="15" s="1"/>
  <c r="AB42" i="15"/>
  <c r="AC42" i="15" s="1"/>
  <c r="AB43" i="15"/>
  <c r="AC43" i="15" s="1"/>
  <c r="AB44" i="15"/>
  <c r="AC44" i="15" s="1"/>
  <c r="AB45" i="15"/>
  <c r="AC45" i="15" s="1"/>
  <c r="AB46" i="15"/>
  <c r="AC46" i="15" s="1"/>
  <c r="AB47" i="15"/>
  <c r="AC47" i="15" s="1"/>
  <c r="AB48" i="15"/>
  <c r="AC48" i="15" s="1"/>
  <c r="AB49" i="15"/>
  <c r="AC49" i="15" s="1"/>
  <c r="AB50" i="15"/>
  <c r="AC50" i="15" s="1"/>
  <c r="AB51" i="15"/>
  <c r="AC51" i="15" s="1"/>
  <c r="AD2" i="15"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<sst xmlns="http://schemas.openxmlformats.org/spreadsheetml/2006/main" count="6380" uniqueCount="455">
  <si>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</si>
  <si>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</si>
  <si>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</si>
  <si>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</si>
  <si>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</si>
  <si>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</si>
  <si>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</si>
  <si>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</si>
  <si>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</si>
  <si>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</si>
  <si>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</si>
  <si>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</si>
  <si>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</si>
  <si>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</si>
  <si>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</si>
  <si>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</si>
  <si>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</si>
  <si>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</si>
  <si>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</si>
  <si>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</si>
  <si>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</si>
  <si>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</si>
  <si>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</si>
  <si>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</si>
  <si>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Quantity</t>
  </si>
  <si>
    <t>Row Labels</t>
  </si>
  <si>
    <t>Sum of Unit_Price</t>
  </si>
  <si>
    <t>Appliances</t>
  </si>
  <si>
    <t>Electronics</t>
  </si>
  <si>
    <t>Furniture</t>
  </si>
  <si>
    <t>Grand Total</t>
  </si>
  <si>
    <t>Sum of Total_Amount</t>
  </si>
  <si>
    <t>Jan</t>
  </si>
  <si>
    <t>Feb</t>
  </si>
  <si>
    <t>Mar</t>
  </si>
  <si>
    <t>Apr</t>
  </si>
  <si>
    <t>May</t>
  </si>
  <si>
    <t>Jun</t>
  </si>
  <si>
    <t>Jul</t>
  </si>
  <si>
    <t>Aug</t>
  </si>
  <si>
    <t>Sep</t>
  </si>
  <si>
    <t>Oct</t>
  </si>
  <si>
    <t>Nov</t>
  </si>
  <si>
    <t>Dec</t>
  </si>
  <si>
    <t>Sales Performance Dashboard</t>
  </si>
  <si>
    <t>Total Sale</t>
  </si>
  <si>
    <t>Total Quantity</t>
  </si>
  <si>
    <t>Total Customers</t>
  </si>
  <si>
    <t>Avg Order Value</t>
  </si>
  <si>
    <t>Count of Transaction_ID</t>
  </si>
  <si>
    <t>Count of Customer_ID</t>
  </si>
  <si>
    <t>Sum of Quantity</t>
  </si>
  <si>
    <t>South</t>
  </si>
  <si>
    <t>Transaction_ID</t>
  </si>
  <si>
    <t>Date</t>
  </si>
  <si>
    <t>Customer_ID</t>
  </si>
  <si>
    <t>Customer_Name</t>
  </si>
  <si>
    <t>Product_ID</t>
  </si>
  <si>
    <t>Product_Name</t>
  </si>
  <si>
    <t>Category</t>
  </si>
  <si>
    <t>Unit_Price</t>
  </si>
  <si>
    <t>Payment_Method</t>
  </si>
  <si>
    <t>Region</t>
  </si>
  <si>
    <t>Customer_Segment</t>
  </si>
  <si>
    <t>Customer_Since</t>
  </si>
  <si>
    <t>Total_Amount</t>
  </si>
  <si>
    <t>TRX0155</t>
  </si>
  <si>
    <t>CUST023</t>
  </si>
  <si>
    <t>Paul Baker</t>
  </si>
  <si>
    <t>P009</t>
  </si>
  <si>
    <t>Monitor</t>
  </si>
  <si>
    <t>Cash</t>
  </si>
  <si>
    <t>Central</t>
  </si>
  <si>
    <t>Basic</t>
  </si>
  <si>
    <t>TRX0023</t>
  </si>
  <si>
    <t>CUST013</t>
  </si>
  <si>
    <t>Joseph Jackson</t>
  </si>
  <si>
    <t>Credit Card</t>
  </si>
  <si>
    <t>Premium</t>
  </si>
  <si>
    <t>TRX0139</t>
  </si>
  <si>
    <t>CUST021</t>
  </si>
  <si>
    <t>Kevin Scott</t>
  </si>
  <si>
    <t>P005</t>
  </si>
  <si>
    <t>Blender</t>
  </si>
  <si>
    <t>PayPal</t>
  </si>
  <si>
    <t>Standard</t>
  </si>
  <si>
    <t>TRX0043</t>
  </si>
  <si>
    <t>CUST046</t>
  </si>
  <si>
    <t>Kathleen Bennett</t>
  </si>
  <si>
    <t>North</t>
  </si>
  <si>
    <t>TRX0212</t>
  </si>
  <si>
    <t>CUST003</t>
  </si>
  <si>
    <t>Michael Brown</t>
  </si>
  <si>
    <t>P008</t>
  </si>
  <si>
    <t>Bookshelf</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</si>
  <si>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</si>
  <si>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</si>
  <si>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</si>
  <si>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</si>
  <si>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</si>
  <si>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</si>
  <si>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</si>
  <si>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</si>
  <si>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</si>
  <si>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</si>
  <si>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</si>
  <si>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</si>
  <si>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</si>
  <si>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</si>
  <si>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</si>
  <si>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</si>
  <si>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</si>
  <si>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</si>
  <si>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</si>
  <si>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</si>
  <si>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</si>
  <si>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</si>
  <si>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</si>
  <si>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</si>
  <si>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</si>
  <si>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</si>
  <si>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</si>
  <si>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</si>
  <si>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</si>
  <si>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</si>
  <si>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</si>
  <si>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</si>
  <si>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</si>
  <si>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</si>
  <si>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</si>
  <si>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</si>
  <si>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</si>
  <si>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</si>
  <si>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</si>
  <si>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</si>
  <si>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</si>
  <si>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</si>
  <si>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</si>
  <si>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</si>
  <si>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</si>
  <si>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</si>
  <si>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</si>
  <si>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</si>
  <si>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</si>
  <si>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</si>
  <si>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</si>
  <si>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</si>
  <si>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</si>
  <si>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</si>
  <si>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</si>
  <si>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</si>
  <si>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</si>
  <si>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</si>
  <si>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</si>
  <si>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</si>
  <si>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</si>
  <si>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</si>
  <si>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</si>
  <si>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</si>
  <si>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</si>
  <si>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</si>
  <si>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</si>
  <si>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</si>
  <si>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</si>
  <si>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</si>
  <si>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</si>
  <si>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</si>
  <si>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</si>
  <si>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</si>
  <si>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</si>
  <si>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</si>
  <si>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</si>
  <si>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</si>
  <si>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</si>
  <si>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</si>
  <si>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</si>
  <si>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</si>
  <si>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</si>
  <si>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</si>
  <si>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</si>
  <si>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</si>
  <si>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</si>
  <si>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</si>
  <si>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</si>
  <si>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</si>
  <si>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</si>
  <si>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</si>
  <si>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</si>
  <si>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</si>
  <si>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</si>
  <si>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</si>
  <si>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</si>
  <si>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</si>
  <si>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</si>
  <si>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</si>
  <si>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</si>
  <si>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</si>
  <si>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</si>
  <si>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</si>
  <si>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</si>
  <si>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</si>
  <si>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</si>
  <si>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</si>
  <si>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</si>
  <si>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</si>
  <si>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</si>
  <si>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</si>
  <si>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</si>
  <si>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</si>
  <si>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</si>
  <si>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</si>
  <si>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</si>
  <si>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</si>
  <si>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</si>
  <si>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</si>
  <si>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</si>
  <si>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</si>
  <si>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</si>
  <si>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</si>
  <si>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</si>
  <si>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</si>
  <si>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</si>
  <si>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</si>
  <si>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</si>
  <si>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</si>
  <si>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</si>
  <si>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</si>
  <si>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</si>
  <si>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</si>
  <si>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</si>
  <si>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</si>
  <si>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</si>
  <si>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</si>
  <si>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</si>
  <si>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</si>
  <si>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</si>
  <si>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</si>
  <si>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</si>
  <si>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</si>
  <si>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</si>
  <si>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</si>
  <si>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</si>
  <si>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</si>
  <si>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</si>
  <si>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</si>
  <si>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</si>
  <si>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</si>
  <si>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</si>
  <si>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</si>
  <si>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</si>
  <si>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</si>
  <si>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</si>
  <si>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</si>
  <si>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</si>
  <si>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</si>
  <si>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</si>
  <si>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</si>
  <si>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</si>
  <si>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</si>
  <si>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</si>
  <si>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</si>
  <si>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</si>
  <si>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</si>
  <si>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</si>
  <si>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</si>
  <si>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</si>
  <si>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</si>
  <si>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</si>
  <si>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</si>
  <si>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</si>
  <si>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</si>
  <si>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</si>
  <si>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</si>
  <si>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</si>
  <si>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</si>
  <si>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</si>
  <si>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</si>
  <si>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</si>
  <si>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</si>
  <si>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</si>
  <si>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</si>
  <si>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</si>
  <si>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</si>
  <si>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</si>
  <si>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</si>
  <si>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</si>
  <si>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</si>
  <si>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</si>
  <si>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</si>
  <si>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</si>
  <si>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</si>
  <si>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</si>
  <si>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</si>
  <si>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</si>
  <si>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</si>
  <si>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</si>
  <si>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</si>
  <si>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</si>
  <si>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</si>
  <si>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</si>
  <si>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</si>
  <si>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</si>
  <si>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</si>
  <si>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</si>
  <si>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</si>
  <si>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</si>
  <si>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</si>
  <si>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</si>
  <si>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</si>
  <si>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</si>
  <si>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</si>
  <si>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</si>
  <si>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</si>
  <si>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</si>
  <si>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</si>
  <si>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</si>
  <si>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</si>
  <si>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</si>
  <si>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</si>
  <si>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</si>
  <si>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</si>
  <si>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</si>
  <si>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</si>
  <si>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</si>
  <si>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</si>
  <si>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</si>
  <si>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</si>
  <si>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</si>
  <si>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</si>
  <si>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</si>
  <si>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</si>
  <si>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</si>
  <si>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</si>
  <si>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</si>
  <si>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</si>
  <si>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</si>
  <si>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</si>
  <si>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</si>
  <si>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</si>
  <si>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</si>
  <si>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</si>
  <si>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</si>
  <si>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</si>
  <si>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</si>
  <si>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</si>
  <si>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</si>
  <si>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</si>
  <si>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</si>
  <si>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</si>
  <si>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</si>
  <si>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</si>
  <si>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</si>
  <si>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</si>
  <si>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</si>
  <si>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</si>
  <si>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</si>
  <si>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</si>
  <si>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</si>
  <si>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</si>
  <si>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</si>
  <si>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</si>
  <si>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</si>
  <si>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</si>
  <si>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</si>
  <si>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</si>
  <si>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</si>
  <si>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</si>
  <si>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</si>
  <si>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</si>
  <si>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</si>
  <si>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</si>
  <si>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</si>
  <si>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</si>
  <si>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</si>
  <si>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</si>
  <si>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</si>
  <si>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</si>
  <si>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</si>
  <si>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</si>
  <si>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</si>
  <si>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</si>
  <si>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</si>
  <si>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</si>
  <si>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</si>
  <si>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</si>
  <si>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</si>
  <si>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</si>
  <si>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</si>
  <si>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</si>
  <si>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</si>
  <si>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</si>
  <si>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</si>
  <si>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</si>
  <si>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</si>
  <si>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</si>
  <si>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</si>
  <si>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</si>
  <si>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</si>
  <si>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</si>
  <si>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</si>
  <si>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</si>
  <si>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</si>
  <si>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</si>
  <si>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</si>
  <si>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</si>
  <si>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</si>
  <si>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</si>
  <si>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</si>
  <si>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</si>
  <si>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</si>
  <si>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</si>
  <si>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</si>
  <si>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</si>
  <si>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</si>
  <si>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</si>
  <si>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</si>
  <si>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</si>
  <si>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</si>
  <si>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</si>
  <si>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</si>
  <si>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</si>
  <si>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</si>
  <si>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</si>
  <si>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</si>
  <si>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</si>
  <si>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</si>
  <si>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</si>
  <si>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</si>
  <si>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</si>
  <si>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</si>
  <si>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</si>
  <si>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</si>
  <si>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</si>
  <si>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</si>
  <si>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</si>
  <si>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</si>
  <si>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</si>
  <si>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</si>
  <si>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</si>
  <si>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</si>
  <si>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</si>
  <si>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</si>
  <si>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</si>
  <si>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</si>
  <si>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</si>
  <si>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</si>
  <si>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</si>
  <si>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NOW</t>
  </si>
  <si>
    <t>TODAY</t>
  </si>
  <si>
    <t>Next month</t>
  </si>
  <si>
    <t>Customer tenure months</t>
  </si>
  <si>
    <t>Customer with highest sale</t>
  </si>
  <si>
    <t>Sort name</t>
  </si>
  <si>
    <t>total high vale customers</t>
  </si>
  <si>
    <t>premium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</si>
</sst>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4009]\ * #,##0.00_ ;_ [$₹-4009]\ * \-#,##0.00_ ;_ [$₹-4009]\ * &quot;-&quot;??_ ;_ @_ "/>
    <numFmt numFmtId="165" formatCode="[$₹-861]\ #,##0.00"/>
    <numFmt numFmtId="166" formatCode="[$₹-439]#,##0.00"/>
    <numFmt numFmtId="167" formatCode="[$₹-4009]\ #,##0.00"/>
    <numFmt numFmtId="168" formatCode="_ [$₹-44E]* #,##0.00_ ;_ [$₹-44E]* \-#,##0.00_ ;_ [$₹-44E]* &quot;-&quot;??_ ;_ @_ "/>
  </numFmts>
  <fonts count="10" x14ac:knownFonts="1">
    <font>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8"/>
      <color theme="1"/>
      <name val="Aptos Narrow"/>
      <family val="2"/>
      <scheme val="minor"/>
    </font>
    <font>
      <sz val="28"/>
      <color theme="1"/>
      <name val="Aptos Narrow"/>
      <family val="2"/>
      <scheme val="minor"/>
    </font>
    <font>
      <sz val="22"/>
      <color theme="1"/>
      <name val="Aptos Narrow"/>
      <family val="2"/>
      <scheme val="minor"/>
    </font>
    <font>
      <sz val="30"/>
      <color theme="1"/>
      <name val="Aptos Narrow"/>
      <family val="2"/>
      <scheme val="minor"/>
    </font>
    <font>
      <b/>
      <sz val="11"/>
      <color theme="1"/>
      <name val="Aptos Narrow"/>
      <family val="2"/>
      <scheme val="minor"/>
    </font>
    <font>
      <sz val="12"/>
      <color rgb="FF000000"/>
      <name val="Aptos Narrow"/>
      <scheme val="minor"/>
    </font>
  </fonts>
  <fills count="6">
    <fill>
      <patternFill patternType="none"/>
    </fill>
    <fill>
      <patternFill patternType="gray125"/>
    </fill>
    <fill>
      <patternFill patternType="solid">
        <fgColor them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22" fontId="0" fillId="0" borderId="0" xfId="0" applyNumberFormat="1"/>
    <xf numFmtId="14" fontId="0" fillId="0" borderId="0" xfId="0" applyNumberFormat="1"/>
    <xf numFmtId="0" fontId="0" fillId="0" borderId="3" xfId="0" applyBorder="1"/>
    <xf numFmtId="0" fontId="3" fillId="0" borderId="4" xfId="0" applyFont="1" applyBorder="1" applyAlignment="1">
      <alignment horizontal="center"/>
    </xf>
    <xf numFmtId="0" fontId="3" fillId="0" borderId="4" xfId="0" applyFont="1" applyBorder="1" applyAlignment="1">
      <alignment horizontal="centerContinuous"/>
    </xf>
    <xf numFmtId="0" fontId="1" fillId="2" borderId="1" xfId="0" applyFont="1" applyFill="1" applyBorder="1" applyAlignment="1">
      <alignment wrapText="1"/>
    </xf>
    <xf numFmtId="0" fontId="1" fillId="2" borderId="2" xfId="0" applyFont="1" applyFill="1" applyBorder="1" applyAlignment="1">
      <alignment wrapText="1"/>
    </xf>
    <xf numFmtId="0" fontId="0" fillId="0" borderId="0" xfId="0" pivotButton="1"/>
    <xf numFmtId="0" fontId="0" fillId="0" borderId="0" xfId="0" applyAlignment="1">
      <alignment horizontal="left"/>
    </xf>
    <xf numFmtId="0" fontId="7" fillId="0" borderId="0" xfId="0" applyFont="1"/>
    <xf numFmtId="0" fontId="6" fillId="3" borderId="5" xfId="0" applyFont="1" applyFill="1" applyBorder="1" applyAlignment="1">
      <alignment horizontal="center"/>
    </xf>
    <xf numFmtId="164" fontId="4" fillId="3" borderId="6" xfId="0" applyNumberFormat="1" applyFont="1" applyFill="1" applyBorder="1"/>
    <xf numFmtId="0" fontId="4" fillId="3" borderId="6" xfId="0" applyFont="1" applyFill="1" applyBorder="1"/>
    <xf numFmtId="0" fontId="5" fillId="4" borderId="0" xfId="0" applyFont="1" applyFill="1"/>
    <xf numFmtId="0" fontId="0" fillId="4" borderId="0" xfId="0" applyFill="1"/>
    <xf numFmtId="0" fontId="0" fillId="5" borderId="0" xfId="0" applyFill="1"/>
    <xf numFmtId="0" fontId="8" fillId="2" borderId="0" xfId="0" applyFont="1" applyFill="1"/>
    <xf numFmtId="0" fontId="9" fillId="0" borderId="0" xfId="0" applyFont="1"/>
    <xf numFmtId="165" fontId="0" fillId="0" borderId="0" xfId="0" applyNumberFormat="1"/>
    <xf numFmtId="166" fontId="0" fillId="0" borderId="0" xfId="0" applyNumberFormat="1"/>
    <xf numFmtId="167" fontId="1" fillId="2" borderId="1" xfId="0" applyNumberFormat="1" applyFont="1" applyFill="1" applyBorder="1" applyAlignment="1">
      <alignment wrapText="1"/>
    </xf>
    <xf numFmtId="167" fontId="2" fillId="0" borderId="1" xfId="0" applyNumberFormat="1" applyFont="1" applyBorder="1" applyAlignment="1">
      <alignment horizontal="right" wrapText="1"/>
    </xf>
    <xf numFmtId="168" fontId="2" fillId="0" borderId="1"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[excelfinalpr.xlsx]Sheet4!PivotTable2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tx1">
                    <a:lumMod val="95000"/>
                    <a:lumOff val="5000"/>
                  </a:schemeClr>
                </a:solidFill>
                <a:latin typeface="Arial Black" panose="020B0A04020102020204" pitchFamily="34" charset="0"/>
              </a:rPr>
              <a:t>Total Quantity Sold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9379-4100-ADEB-0159493042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290-41CD-99F9-021F8A200A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290-41CD-99F9-021F8A200A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Appliances</c:v>
                </c:pt>
                <c:pt idx="1">
                  <c:v>Electronics</c:v>
                </c:pt>
                <c:pt idx="2">
                  <c:v>Furniture</c:v>
                </c:pt>
              </c:strCache>
            </c:strRef>
          </c:cat>
          <c:val>
            <c:numRef>
              <c:f>Sheet4!$B$4:$B$7</c:f>
              <c:numCache>
                <c:formatCode>General</c:formatCode>
                <c:ptCount val="3"/>
                <c:pt idx="0">
                  <c:v>399.94</c:v>
                </c:pt>
                <c:pt idx="1">
                  <c:v>6389.7799999999979</c:v>
                </c:pt>
                <c:pt idx="2">
                  <c:v>3399.8599999999988</c:v>
                </c:pt>
              </c:numCache>
            </c:numRef>
          </c:val>
          <c:extLst>
            <c:ext xmlns:c16="http://schemas.microsoft.com/office/drawing/2014/chart" uri="{C3380CC4-5D6E-409C-BE32-E72D297353CC}">
              <c16:uniqueId val="{00000000-9379-4100-ADEB-01594930427C}"/>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8414763779527563"/>
          <c:y val="0.35502223680373285"/>
          <c:w val="0.16029680664916884"/>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[excelfinalpr.xlsx]Sheet2!PivotTable1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tx1">
                    <a:lumMod val="95000"/>
                    <a:lumOff val="5000"/>
                  </a:schemeClr>
                </a:solidFill>
                <a:latin typeface="Arial Black" panose="020B0A04020102020204" pitchFamily="34" charset="0"/>
              </a:rPr>
              <a:t>Sales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4559.7699999999995</c:v>
                </c:pt>
                <c:pt idx="1">
                  <c:v>5899.86</c:v>
                </c:pt>
                <c:pt idx="2">
                  <c:v>449.95</c:v>
                </c:pt>
                <c:pt idx="3">
                  <c:v>359.94</c:v>
                </c:pt>
                <c:pt idx="4">
                  <c:v>1239.92</c:v>
                </c:pt>
                <c:pt idx="5">
                  <c:v>5129.8799999999992</c:v>
                </c:pt>
                <c:pt idx="6">
                  <c:v>8909.83</c:v>
                </c:pt>
                <c:pt idx="7">
                  <c:v>1099.94</c:v>
                </c:pt>
                <c:pt idx="8">
                  <c:v>3479.92</c:v>
                </c:pt>
                <c:pt idx="9">
                  <c:v>449.97</c:v>
                </c:pt>
                <c:pt idx="10">
                  <c:v>2629.87</c:v>
                </c:pt>
                <c:pt idx="11">
                  <c:v>2189.9</c:v>
                </c:pt>
              </c:numCache>
            </c:numRef>
          </c:val>
          <c:smooth val="0"/>
          <c:extLst>
            <c:ext xmlns:c16="http://schemas.microsoft.com/office/drawing/2014/chart" uri="{C3380CC4-5D6E-409C-BE32-E72D297353CC}">
              <c16:uniqueId val="{00000000-7764-4058-A1DA-C0916BE12A36}"/>
            </c:ext>
          </c:extLst>
        </c:ser>
        <c:dLbls>
          <c:showLegendKey val="0"/>
          <c:showVal val="0"/>
          <c:showCatName val="0"/>
          <c:showSerName val="0"/>
          <c:showPercent val="0"/>
          <c:showBubbleSize val="0"/>
        </c:dLbls>
        <c:smooth val="0"/>
        <c:axId val="548555776"/>
        <c:axId val="548553976"/>
      </c:lineChart>
      <c:catAx>
        <c:axId val="5485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48553976"/>
        <c:crosses val="autoZero"/>
        <c:auto val="1"/>
        <c:lblAlgn val="ctr"/>
        <c:lblOffset val="100"/>
        <c:noMultiLvlLbl val="0"/>
      </c:catAx>
      <c:valAx>
        <c:axId val="54855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485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[excelfinalpr.xlsx]Sheet9!PivotTable6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ln>
                  <a:noFill/>
                </a:ln>
                <a:solidFill>
                  <a:schemeClr val="tx1">
                    <a:lumMod val="95000"/>
                    <a:lumOff val="5000"/>
                  </a:schemeClr>
                </a:solidFill>
                <a:latin typeface="Arial Black" panose="020B0A04020102020204" pitchFamily="34" charset="0"/>
              </a:rPr>
              <a:t>Total Sales By </a:t>
            </a:r>
            <a:r>
              <a:rPr lang="en-US" sz="1400" b="0" i="0" u="none" strike="noStrike" kern="1200" spc="0" baseline="0">
                <a:ln>
                  <a:noFill/>
                </a:ln>
                <a:solidFill>
                  <a:schemeClr val="tx1">
                    <a:lumMod val="95000"/>
                    <a:lumOff val="5000"/>
                  </a:schemeClr>
                </a:solidFill>
                <a:latin typeface="Arial Black" panose="020B0A04020102020204" pitchFamily="34" charset="0"/>
              </a:rPr>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965012433666412E-2"/>
          <c:y val="0.14713425560282964"/>
          <c:w val="0.93416063377083058"/>
          <c:h val="0.56842327120791358"/>
        </c:manualLayout>
      </c:layout>
      <c:bar3DChart>
        <c:barDir val="col"/>
        <c:grouping val="clustered"/>
        <c:varyColors val="0"/>
        <c:ser>
          <c:idx val="0"/>
          <c:order val="0"/>
          <c:tx>
            <c:strRef>
              <c:f>Sheet9!$B$3</c:f>
              <c:strCache>
                <c:ptCount val="1"/>
                <c:pt idx="0">
                  <c:v>Total</c:v>
                </c:pt>
              </c:strCache>
            </c:strRef>
          </c:tx>
          <c:spPr>
            <a:solidFill>
              <a:schemeClr val="accent4"/>
            </a:solidFill>
            <a:ln>
              <a:noFill/>
            </a:ln>
            <a:effectLst/>
            <a:sp3d/>
          </c:spPr>
          <c:invertIfNegative val="0"/>
          <c:cat>
            <c:strRef>
              <c:f>Sheet9!$A$4:$A$14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Sheet9!$B$4:$B$14</c:f>
              <c:numCache>
                <c:formatCode>General</c:formatCode>
                <c:ptCount val="10"/>
                <c:pt idx="0">
                  <c:v>779.87</c:v>
                </c:pt>
                <c:pt idx="1">
                  <c:v>1349.91</c:v>
                </c:pt>
                <c:pt idx="2">
                  <c:v>319.95999999999998</c:v>
                </c:pt>
                <c:pt idx="3">
                  <c:v>6599.7800000000007</c:v>
                </c:pt>
                <c:pt idx="4">
                  <c:v>899.94</c:v>
                </c:pt>
                <c:pt idx="5">
                  <c:v>2249.75</c:v>
                </c:pt>
                <c:pt idx="6">
                  <c:v>12599.86</c:v>
                </c:pt>
                <c:pt idx="7">
                  <c:v>3499.86</c:v>
                </c:pt>
                <c:pt idx="8">
                  <c:v>1799.91</c:v>
                </c:pt>
                <c:pt idx="9">
                  <c:v>6299.91</c:v>
                </c:pt>
              </c:numCache>
            </c:numRef>
          </c:val>
          <c:extLst>
            <c:ext xmlns:c16="http://schemas.microsoft.com/office/drawing/2014/chart" uri="{C3380CC4-5D6E-409C-BE32-E72D297353CC}">
              <c16:uniqueId val="{00000000-E284-4358-83F3-BCF366EB7211}"/>
            </c:ext>
          </c:extLst>
        </c:ser>
        <c:dLbls>
          <c:showLegendKey val="0"/>
          <c:showVal val="0"/>
          <c:showCatName val="0"/>
          <c:showSerName val="0"/>
          <c:showPercent val="0"/>
          <c:showBubbleSize val="0"/>
        </c:dLbls>
        <c:gapWidth val="150"/>
        <c:shape val="box"/>
        <c:axId val="696214048"/>
        <c:axId val="696214408"/>
        <c:axId val="0"/>
      </c:bar3DChart>
      <c:catAx>
        <c:axId val="69621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6214408"/>
        <c:crosses val="autoZero"/>
        <c:auto val="1"/>
        <c:lblAlgn val="ctr"/>
        <c:lblOffset val="100"/>
        <c:noMultiLvlLbl val="0"/>
      </c:catAx>
      <c:valAx>
        <c:axId val="696214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621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[excelfinalpr.xlsx]Sheet2!PivotTable1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tx1">
                    <a:lumMod val="95000"/>
                    <a:lumOff val="5000"/>
                  </a:schemeClr>
                </a:solidFill>
                <a:latin typeface="Arial Black" panose="020B0A04020102020204" pitchFamily="34" charset="0"/>
              </a:rPr>
              <a:t>Sales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4559.7699999999995</c:v>
                </c:pt>
                <c:pt idx="1">
                  <c:v>5899.86</c:v>
                </c:pt>
                <c:pt idx="2">
                  <c:v>449.95</c:v>
                </c:pt>
                <c:pt idx="3">
                  <c:v>359.94</c:v>
                </c:pt>
                <c:pt idx="4">
                  <c:v>1239.92</c:v>
                </c:pt>
                <c:pt idx="5">
                  <c:v>5129.8799999999992</c:v>
                </c:pt>
                <c:pt idx="6">
                  <c:v>8909.83</c:v>
                </c:pt>
                <c:pt idx="7">
                  <c:v>1099.94</c:v>
                </c:pt>
                <c:pt idx="8">
                  <c:v>3479.92</c:v>
                </c:pt>
                <c:pt idx="9">
                  <c:v>449.97</c:v>
                </c:pt>
                <c:pt idx="10">
                  <c:v>2629.87</c:v>
                </c:pt>
                <c:pt idx="11">
                  <c:v>2189.9</c:v>
                </c:pt>
              </c:numCache>
            </c:numRef>
          </c:val>
          <c:smooth val="0"/>
          <c:extLst>
            <c:ext xmlns:c16="http://schemas.microsoft.com/office/drawing/2014/chart" uri="{C3380CC4-5D6E-409C-BE32-E72D297353CC}">
              <c16:uniqueId val="{00000000-975B-4FA6-B347-CBDBE0E6B8E0}"/>
            </c:ext>
          </c:extLst>
        </c:ser>
        <c:dLbls>
          <c:showLegendKey val="0"/>
          <c:showVal val="0"/>
          <c:showCatName val="0"/>
          <c:showSerName val="0"/>
          <c:showPercent val="0"/>
          <c:showBubbleSize val="0"/>
        </c:dLbls>
        <c:smooth val="0"/>
        <c:axId val="548555776"/>
        <c:axId val="548553976"/>
      </c:lineChart>
      <c:catAx>
        <c:axId val="5485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48553976"/>
        <c:crosses val="autoZero"/>
        <c:auto val="1"/>
        <c:lblAlgn val="ctr"/>
        <c:lblOffset val="100"/>
        <c:noMultiLvlLbl val="0"/>
      </c:catAx>
      <c:valAx>
        <c:axId val="54855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485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[excelfinalpr.xlsx]Sheet4!PivotTable2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tx1">
                    <a:lumMod val="95000"/>
                    <a:lumOff val="5000"/>
                  </a:schemeClr>
                </a:solidFill>
                <a:latin typeface="Arial Black" panose="020B0A04020102020204" pitchFamily="34" charset="0"/>
              </a:rPr>
              <a:t>Total Quantity Sold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117553279733264E-2"/>
          <c:y val="0.28038110932150834"/>
          <c:w val="0.65752066650751206"/>
          <c:h val="0.63572175240145079"/>
        </c:manualLayout>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BD-4EF6-B191-397461D493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BD-4EF6-B191-397461D493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BD-4EF6-B191-397461D493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Appliances</c:v>
                </c:pt>
                <c:pt idx="1">
                  <c:v>Electronics</c:v>
                </c:pt>
                <c:pt idx="2">
                  <c:v>Furniture</c:v>
                </c:pt>
              </c:strCache>
            </c:strRef>
          </c:cat>
          <c:val>
            <c:numRef>
              <c:f>Sheet4!$B$4:$B$7</c:f>
              <c:numCache>
                <c:formatCode>General</c:formatCode>
                <c:ptCount val="3"/>
                <c:pt idx="0">
                  <c:v>399.94</c:v>
                </c:pt>
                <c:pt idx="1">
                  <c:v>6389.7799999999979</c:v>
                </c:pt>
                <c:pt idx="2">
                  <c:v>3399.8599999999988</c:v>
                </c:pt>
              </c:numCache>
            </c:numRef>
          </c:val>
          <c:extLst>
            <c:ext xmlns:c16="http://schemas.microsoft.com/office/drawing/2014/chart" uri="{C3380CC4-5D6E-409C-BE32-E72D297353CC}">
              <c16:uniqueId val="{00000006-97BD-4EF6-B191-397461D493E7}"/>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8351261840502708"/>
          <c:y val="0.3194304819396252"/>
          <c:w val="0.22239070590504403"/>
          <c:h val="0.39824947222732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[excelfinalpr.xlsx]Sheet9!PivotTable6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ln>
                  <a:noFill/>
                </a:ln>
                <a:solidFill>
                  <a:schemeClr val="tx1">
                    <a:lumMod val="95000"/>
                    <a:lumOff val="5000"/>
                  </a:schemeClr>
                </a:solidFill>
                <a:latin typeface="Arial Black" panose="020B0A04020102020204" pitchFamily="34" charset="0"/>
              </a:rPr>
              <a:t>Total Sales By </a:t>
            </a:r>
            <a:r>
              <a:rPr lang="en-US" sz="1400" b="0" i="0" u="none" strike="noStrike" kern="1200" spc="0" baseline="0">
                <a:ln>
                  <a:noFill/>
                </a:ln>
                <a:solidFill>
                  <a:schemeClr val="tx1">
                    <a:lumMod val="95000"/>
                    <a:lumOff val="5000"/>
                  </a:schemeClr>
                </a:solidFill>
                <a:latin typeface="Arial Black" panose="020B0A04020102020204" pitchFamily="34" charset="0"/>
              </a:rPr>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38689921824289"/>
          <c:y val="0.14170372934152461"/>
          <c:w val="0.86516190330577614"/>
          <c:h val="0.45021631911395693"/>
        </c:manualLayout>
      </c:layout>
      <c:bar3DChart>
        <c:barDir val="col"/>
        <c:grouping val="clustered"/>
        <c:varyColors val="0"/>
        <c:ser>
          <c:idx val="0"/>
          <c:order val="0"/>
          <c:tx>
            <c:strRef>
              <c:f>Sheet9!$B$3</c:f>
              <c:strCache>
                <c:ptCount val="1"/>
                <c:pt idx="0">
                  <c:v>Total</c:v>
                </c:pt>
              </c:strCache>
            </c:strRef>
          </c:tx>
          <c:spPr>
            <a:solidFill>
              <a:schemeClr val="accent4"/>
            </a:solidFill>
            <a:ln>
              <a:noFill/>
            </a:ln>
            <a:effectLst/>
            <a:sp3d/>
          </c:spPr>
          <c:invertIfNegative val="0"/>
          <c:cat>
            <c:strRef>
              <c:f>Sheet9!$A$4:$A$14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Sheet9!$B$4:$B$14</c:f>
              <c:numCache>
                <c:formatCode>General</c:formatCode>
                <c:ptCount val="10"/>
                <c:pt idx="0">
                  <c:v>779.87</c:v>
                </c:pt>
                <c:pt idx="1">
                  <c:v>1349.91</c:v>
                </c:pt>
                <c:pt idx="2">
                  <c:v>319.95999999999998</c:v>
                </c:pt>
                <c:pt idx="3">
                  <c:v>6599.7800000000007</c:v>
                </c:pt>
                <c:pt idx="4">
                  <c:v>899.94</c:v>
                </c:pt>
                <c:pt idx="5">
                  <c:v>2249.75</c:v>
                </c:pt>
                <c:pt idx="6">
                  <c:v>12599.86</c:v>
                </c:pt>
                <c:pt idx="7">
                  <c:v>3499.86</c:v>
                </c:pt>
                <c:pt idx="8">
                  <c:v>1799.91</c:v>
                </c:pt>
                <c:pt idx="9">
                  <c:v>6299.91</c:v>
                </c:pt>
              </c:numCache>
            </c:numRef>
          </c:val>
          <c:extLst>
            <c:ext xmlns:c16="http://schemas.microsoft.com/office/drawing/2014/chart" uri="{C3380CC4-5D6E-409C-BE32-E72D297353CC}">
              <c16:uniqueId val="{00000000-BDFC-48AD-AF74-6C5B7A328091}"/>
            </c:ext>
          </c:extLst>
        </c:ser>
        <c:dLbls>
          <c:showLegendKey val="0"/>
          <c:showVal val="0"/>
          <c:showCatName val="0"/>
          <c:showSerName val="0"/>
          <c:showPercent val="0"/>
          <c:showBubbleSize val="0"/>
        </c:dLbls>
        <c:gapWidth val="150"/>
        <c:shape val="box"/>
        <c:axId val="696214048"/>
        <c:axId val="696214408"/>
        <c:axId val="0"/>
      </c:bar3DChart>
      <c:catAx>
        <c:axId val="69621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6214408"/>
        <c:crosses val="autoZero"/>
        <c:auto val="1"/>
        <c:lblAlgn val="ctr"/>
        <c:lblOffset val="100"/>
        <c:noMultiLvlLbl val="0"/>
      </c:catAx>
      <c:valAx>
        <c:axId val="696214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621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215900</xdr:colOff>
      <xdr:row>1</xdr:row>
      <xdr:rowOff>120650</xdr:rowOff>
    </xdr:from>
    <xdr:to>
      <xdr:col>10</xdr:col>
      <xdr:colOff>520700</xdr:colOff>
      <xdr:row>16</xdr:row>
      <xdr:rowOff>101600</xdr:rowOff>
    </xdr:to>
    <xdr:graphicFrame macro="">
      <xdr:nvGraphicFramePr>
        <xdr:cNvPr id="3" name="Chart 2">
          <a:extLst>
            <a:ext uri="{FF2B5EF4-FFF2-40B4-BE49-F238E27FC236}">
              <a16:creationId xmlns:a16="http://schemas.microsoft.com/office/drawing/2014/main" id="{3961BBD3-CDDA-8E74-2BC1-46E8A01E9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107950</xdr:colOff>
      <xdr:row>1</xdr:row>
      <xdr:rowOff>44450</xdr:rowOff>
    </xdr:from>
    <xdr:to>
      <xdr:col>9</xdr:col>
      <xdr:colOff>412750</xdr:colOff>
      <xdr:row>16</xdr:row>
      <xdr:rowOff>25400</xdr:rowOff>
    </xdr:to>
    <xdr:graphicFrame macro="">
      <xdr:nvGraphicFramePr>
        <xdr:cNvPr id="2" name="Chart 1">
          <a:extLst>
            <a:ext uri="{FF2B5EF4-FFF2-40B4-BE49-F238E27FC236}">
              <a16:creationId xmlns:a16="http://schemas.microsoft.com/office/drawing/2014/main" id="{FCA6D5EE-A521-4F02-6DFB-D7B386DE2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48847</xdr:colOff>
      <xdr:row>6</xdr:row>
      <xdr:rowOff>105188</xdr:rowOff>
    </xdr:from>
    <xdr:to>
      <xdr:col>5</xdr:col>
      <xdr:colOff>1612112</xdr:colOff>
      <xdr:row>21</xdr:row>
      <xdr:rowOff>29308</xdr:rowOff>
    </xdr:to>
    <xdr:graphicFrame macro="">
      <xdr:nvGraphicFramePr>
        <xdr:cNvPr id="3" name="Chart 2">
          <a:extLst>
            <a:ext uri="{FF2B5EF4-FFF2-40B4-BE49-F238E27FC236}">
              <a16:creationId xmlns:a16="http://schemas.microsoft.com/office/drawing/2014/main" id="{CEB3C568-7079-420E-B194-AC87C11F1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169232</xdr:colOff>
      <xdr:row>6</xdr:row>
      <xdr:rowOff>152746</xdr:rowOff>
    </xdr:from>
    <xdr:to>
      <xdr:col>5</xdr:col>
      <xdr:colOff>1401792</xdr:colOff>
      <xdr:row>21</xdr:row>
      <xdr:rowOff>23963</xdr:rowOff>
    </xdr:to>
    <xdr:sp macro="" textlink="">
      <xdr:nvSpPr>
        <xdr:cNvPr id="8" name="Rectangle: Rounded Corners 7">
          <a:extLst>
            <a:ext uri="{FF2B5EF4-FFF2-40B4-BE49-F238E27FC236}">
              <a16:creationId xmlns:a16="http://schemas.microsoft.com/office/drawing/2014/main" id="{4726395B-CDC5-4D92-88F4-A378F5DBC6C8}"/>
            </a:ext>
            <a:ext uri="{147F2762-F138-4A5C-976F-8EAC2B608ADB}">
              <a16:predDERef xmlns:a16="http://schemas.microsoft.com/office/drawing/2014/main" pred="{CEB3C568-7079-420E-B194-AC87C11F1FF3}"/>
            </a:ext>
          </a:extLst>
        </xdr:cNvPr>
        <xdr:cNvSpPr/>
      </xdr:nvSpPr>
      <xdr:spPr>
        <a:xfrm>
          <a:off x="169232" y="1848196"/>
          <a:ext cx="6214135" cy="2585842"/>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lt"/>
            <a:cs typeface="+mn-lt"/>
          </a:endParaRPr>
        </a:p>
      </xdr:txBody>
    </xdr:sp>
    <xdr:clientData/>
  </xdr:twoCellAnchor>
  <xdr:twoCellAnchor>
    <xdr:from>
      <xdr:col>5</xdr:col>
      <xdr:colOff>676404</xdr:colOff>
      <xdr:row>21</xdr:row>
      <xdr:rowOff>86762</xdr:rowOff>
    </xdr:from>
    <xdr:to>
      <xdr:col>8</xdr:col>
      <xdr:colOff>14518</xdr:colOff>
      <xdr:row>34</xdr:row>
      <xdr:rowOff>148841</xdr:rowOff>
    </xdr:to>
    <xdr:graphicFrame macro="">
      <xdr:nvGraphicFramePr>
        <xdr:cNvPr id="9" name="Chart 8">
          <a:extLst>
            <a:ext uri="{FF2B5EF4-FFF2-40B4-BE49-F238E27FC236}">
              <a16:creationId xmlns:a16="http://schemas.microsoft.com/office/drawing/2014/main" id="{9A0EF49C-8684-4864-A4BB-8FFC83BE5174}"/>
            </a:ext>
            <a:ext uri="{147F2762-F138-4A5C-976F-8EAC2B608ADB}">
              <a16:predDERef xmlns:a16="http://schemas.microsoft.com/office/drawing/2014/main" pred="{4726395B-CDC5-4D92-88F4-A378F5DBC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104350</xdr:rowOff>
    </xdr:from>
    <xdr:to>
      <xdr:col>5</xdr:col>
      <xdr:colOff>714375</xdr:colOff>
      <xdr:row>34</xdr:row>
      <xdr:rowOff>174169</xdr:rowOff>
    </xdr:to>
    <xdr:graphicFrame macro="">
      <xdr:nvGraphicFramePr>
        <xdr:cNvPr id="11" name="Chart 10">
          <a:extLst>
            <a:ext uri="{FF2B5EF4-FFF2-40B4-BE49-F238E27FC236}">
              <a16:creationId xmlns:a16="http://schemas.microsoft.com/office/drawing/2014/main" id="{9A4CC0FF-3D1C-4593-858E-E10694C4FC74}"/>
            </a:ext>
            <a:ext uri="{147F2762-F138-4A5C-976F-8EAC2B608ADB}">
              <a16:predDERef xmlns:a16="http://schemas.microsoft.com/office/drawing/2014/main" pred="{9A0EF49C-8684-4864-A4BB-8FFC83BE5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1638300</xdr:colOff>
      <xdr:row>6</xdr:row>
      <xdr:rowOff>152400</xdr:rowOff>
    </xdr:from>
    <xdr:to>
      <xdr:col>7</xdr:col>
      <xdr:colOff>1733550</xdr:colOff>
      <xdr:row>16</xdr:row>
      <xdr:rowOff>104775</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120D42B-3490-40BB-B0B6-CDE423E28257}"/>
                </a:ext>
                <a:ext uri="{147F2762-F138-4A5C-976F-8EAC2B608ADB}">
                  <a16:predDERef xmlns:a16="http://schemas.microsoft.com/office/drawing/2014/main" pred="{9A4CC0FF-3D1C-4593-858E-E10694C4FC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53190" y="1860934"/>
              <a:ext cx="2640115" cy="1879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176209</xdr:colOff>
      <xdr:row>21</xdr:row>
      <xdr:rowOff>158861</xdr:rowOff>
    </xdr:from>
    <xdr:to>
      <xdr:col>5</xdr:col>
      <xdr:colOff>535778</xdr:colOff>
      <xdr:row>34</xdr:row>
      <xdr:rowOff>158862</xdr:rowOff>
    </xdr:to>
    <xdr:sp macro="" textlink="">
      <xdr:nvSpPr>
        <xdr:cNvPr id="13" name="Rectangle: Rounded Corners 12">
          <a:extLst>
            <a:ext uri="{FF2B5EF4-FFF2-40B4-BE49-F238E27FC236}">
              <a16:creationId xmlns:a16="http://schemas.microsoft.com/office/drawing/2014/main" id="{2D62E47A-7444-4FFF-B0FB-3541D72D5A87}"/>
            </a:ext>
          </a:extLst>
        </xdr:cNvPr>
        <xdr:cNvSpPr/>
      </xdr:nvSpPr>
      <xdr:spPr>
        <a:xfrm>
          <a:off x="176209" y="4585718"/>
          <a:ext cx="5575640" cy="2358573"/>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615048</xdr:colOff>
      <xdr:row>21</xdr:row>
      <xdr:rowOff>175987</xdr:rowOff>
    </xdr:from>
    <xdr:to>
      <xdr:col>9</xdr:col>
      <xdr:colOff>842</xdr:colOff>
      <xdr:row>34</xdr:row>
      <xdr:rowOff>175988</xdr:rowOff>
    </xdr:to>
    <xdr:sp macro="" textlink="">
      <xdr:nvSpPr>
        <xdr:cNvPr id="2" name="Rectangle: Rounded Corners 1">
          <a:extLst>
            <a:ext uri="{FF2B5EF4-FFF2-40B4-BE49-F238E27FC236}">
              <a16:creationId xmlns:a16="http://schemas.microsoft.com/office/drawing/2014/main" id="{BDB4A711-16FD-488C-A4D4-7D3C3EC15826}"/>
            </a:ext>
            <a:ext uri="{147F2762-F138-4A5C-976F-8EAC2B608ADB}">
              <a16:predDERef xmlns:a16="http://schemas.microsoft.com/office/drawing/2014/main" pred="{2D62E47A-7444-4FFF-B0FB-3541D72D5A87}"/>
            </a:ext>
          </a:extLst>
        </xdr:cNvPr>
        <xdr:cNvSpPr/>
      </xdr:nvSpPr>
      <xdr:spPr>
        <a:xfrm>
          <a:off x="5831119" y="4602844"/>
          <a:ext cx="4157366" cy="2358573"/>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546100</xdr:colOff>
      <xdr:row>2</xdr:row>
      <xdr:rowOff>12700</xdr:rowOff>
    </xdr:from>
    <xdr:to>
      <xdr:col>5</xdr:col>
      <xdr:colOff>88900</xdr:colOff>
      <xdr:row>14</xdr:row>
      <xdr:rowOff>114300</xdr:rowOff>
    </xdr:to>
    <xdr:graphicFrame macro="">
      <xdr:nvGraphicFramePr>
        <xdr:cNvPr id="3" name="Chart 2">
          <a:extLst>
            <a:ext uri="{FF2B5EF4-FFF2-40B4-BE49-F238E27FC236}">
              <a16:creationId xmlns:a16="http://schemas.microsoft.com/office/drawing/2014/main" id="{4653B897-3FD6-69A4-D09C-D060F357F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023" refreshedDate="46316.975809490737" createdVersion="8" refreshedVersion="8" minRefreshableVersion="3" recordCount="250" xr:uid="{A7463C36-946A-4689-A137-4DFB7F438AA1}">
  <cacheSource type="worksheet">
    <worksheetSource ref="A1:R251" sheet="Sheet1"/>
  </cacheSource>
  <cacheFields count="21">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NOW" numFmtId="22">
      <sharedItems containsSemiMixedTypes="0" containsNonDate="0" containsDate="1" containsString="0" minDate="2026-10-21T23:09:13" maxDate="2026-10-21T23:09:13"/>
    </cacheField>
    <cacheField name="TODAY" numFmtId="14">
      <sharedItems containsSemiMixedTypes="0" containsNonDate="0" containsDate="1" containsString="0" minDate="2026-10-21T00:00:00" maxDate="2026-10-22T00:00:00"/>
    </cacheField>
    <cacheField name="Next month" numFmtId="0">
      <sharedItems/>
    </cacheField>
    <cacheField name="Customer tenure months" numFmtId="0">
      <sharedItems containsSemiMixedTypes="0" containsString="0" containsNumber="1" containsInteger="1" minValue="1" maxValue="42"/>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25012158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s v="Basic"/>
    <d v="2021-08-17T00:00:00"/>
    <n v="749.97"/>
    <d v="2026-10-21T23:09:13"/>
    <d v="2026-10-21T00:00:00"/>
    <s v="September"/>
    <n v="31"/>
  </r>
  <r>
    <s v="TRX0023"/>
    <x v="1"/>
    <s v="CUST013"/>
    <s v="Joseph Jackson"/>
    <s v="P009"/>
    <x v="0"/>
    <x v="0"/>
    <n v="3"/>
    <n v="249.99"/>
    <s v="Credit Card"/>
    <x v="0"/>
    <s v="Premium"/>
    <d v="2022-01-14T00:00:00"/>
    <n v="749.97"/>
    <d v="2026-10-21T23:09:13"/>
    <d v="2026-10-21T00:00:00"/>
    <s v="February"/>
    <n v="27"/>
  </r>
  <r>
    <s v="TRX0139"/>
    <x v="2"/>
    <s v="CUST021"/>
    <s v="Kevin Scott"/>
    <s v="P005"/>
    <x v="1"/>
    <x v="1"/>
    <n v="3"/>
    <n v="59.99"/>
    <s v="PayPal"/>
    <x v="1"/>
    <s v="Standard"/>
    <d v="2023-12-02T00:00:00"/>
    <n v="179.97"/>
    <d v="2026-10-21T23:09:13"/>
    <d v="2026-10-21T00:00:00"/>
    <s v="January"/>
    <n v="4"/>
  </r>
  <r>
    <s v="TRX0043"/>
    <x v="3"/>
    <s v="CUST046"/>
    <s v="Kathleen Bennett"/>
    <s v="P005"/>
    <x v="1"/>
    <x v="1"/>
    <n v="3"/>
    <n v="59.99"/>
    <s v="Cash"/>
    <x v="2"/>
    <s v="Premium"/>
    <d v="2023-07-07T00:00:00"/>
    <n v="179.97"/>
    <d v="2026-10-21T23:09:13"/>
    <d v="2026-10-21T00:00:00"/>
    <s v="August"/>
    <n v="9"/>
  </r>
  <r>
    <s v="TRX0212"/>
    <x v="3"/>
    <s v="CUST003"/>
    <s v="Michael Brown"/>
    <s v="P008"/>
    <x v="2"/>
    <x v="2"/>
    <n v="5"/>
    <n v="149.99"/>
    <s v="Credit Card"/>
    <x v="2"/>
    <s v="Premium"/>
    <d v="2024-01-04T00:00:00"/>
    <n v="749.95"/>
    <d v="2026-10-21T23:09:13"/>
    <d v="2026-10-21T00:00:00"/>
    <s v="February"/>
    <n v="3"/>
  </r>
  <r>
    <s v="TRX0092"/>
    <x v="4"/>
    <s v="CUST024"/>
    <s v="Dorothy Nelson"/>
    <s v="P005"/>
    <x v="1"/>
    <x v="1"/>
    <n v="2"/>
    <n v="59.99"/>
    <s v="Cash"/>
    <x v="3"/>
    <s v="Standard"/>
    <d v="2022-07-04T00:00:00"/>
    <n v="119.98"/>
    <d v="2026-10-21T23:09:13"/>
    <d v="2026-10-21T00:00:00"/>
    <s v="August"/>
    <n v="21"/>
  </r>
  <r>
    <s v="TRX0193"/>
    <x v="4"/>
    <s v="CUST024"/>
    <s v="Dorothy Nelson"/>
    <s v="P003"/>
    <x v="3"/>
    <x v="0"/>
    <n v="5"/>
    <n v="149.99"/>
    <s v="Credit Card"/>
    <x v="0"/>
    <s v="Standard"/>
    <d v="2021-08-10T00:00:00"/>
    <n v="749.95"/>
    <d v="2026-10-21T23:09:13"/>
    <d v="2026-10-21T00:00:00"/>
    <s v="September"/>
    <n v="32"/>
  </r>
  <r>
    <s v="TRX0240"/>
    <x v="4"/>
    <s v="CUST017"/>
    <s v="Charles Allen"/>
    <s v="P005"/>
    <x v="1"/>
    <x v="1"/>
    <n v="3"/>
    <n v="59.99"/>
    <s v="Debit Card"/>
    <x v="1"/>
    <s v="Basic"/>
    <d v="2023-03-22T00:00:00"/>
    <n v="179.97"/>
    <d v="2026-10-21T23:09:13"/>
    <d v="2026-10-21T00:00:00"/>
    <s v="April"/>
    <n v="12"/>
  </r>
  <r>
    <s v="TRX0135"/>
    <x v="5"/>
    <s v="CUST009"/>
    <s v="Robert Thomas"/>
    <s v="P001"/>
    <x v="4"/>
    <x v="0"/>
    <n v="3"/>
    <n v="899.99"/>
    <s v="PayPal"/>
    <x v="4"/>
    <s v="Standard"/>
    <d v="2024-01-08T00:00:00"/>
    <n v="2699.97"/>
    <d v="2026-10-21T23:09:13"/>
    <d v="2026-10-21T00:00:00"/>
    <s v="February"/>
    <n v="3"/>
  </r>
  <r>
    <s v="TRX0185"/>
    <x v="6"/>
    <s v="CUST026"/>
    <s v="Karen Hill"/>
    <s v="P005"/>
    <x v="1"/>
    <x v="1"/>
    <n v="3"/>
    <n v="59.99"/>
    <s v="Cash"/>
    <x v="3"/>
    <s v="Premium"/>
    <d v="2023-10-08T00:00:00"/>
    <n v="179.97"/>
    <d v="2026-10-21T23:09:13"/>
    <d v="2026-10-21T00:00:00"/>
    <s v="November"/>
    <n v="6"/>
  </r>
  <r>
    <s v="TRX0138"/>
    <x v="6"/>
    <s v="CUST022"/>
    <s v="Susan Green"/>
    <s v="P008"/>
    <x v="2"/>
    <x v="2"/>
    <n v="1"/>
    <n v="149.99"/>
    <s v="Credit Card"/>
    <x v="3"/>
    <s v="Standard"/>
    <d v="2023-06-26T00:00:00"/>
    <n v="149.99"/>
    <d v="2026-10-21T23:09:13"/>
    <d v="2026-10-21T00:00:00"/>
    <s v="July"/>
    <n v="10"/>
  </r>
  <r>
    <s v="TRX0209"/>
    <x v="6"/>
    <s v="CUST046"/>
    <s v="Kathleen Bennett"/>
    <s v="P008"/>
    <x v="2"/>
    <x v="2"/>
    <n v="5"/>
    <n v="149.99"/>
    <s v="Debit Card"/>
    <x v="2"/>
    <s v="Basic"/>
    <d v="2022-09-26T00:00:00"/>
    <n v="749.95"/>
    <d v="2026-10-21T23:09:13"/>
    <d v="2026-10-21T00:00:00"/>
    <s v="October"/>
    <n v="19"/>
  </r>
  <r>
    <s v="TRX0246"/>
    <x v="6"/>
    <s v="CUST041"/>
    <s v="Peter Richardson"/>
    <s v="P008"/>
    <x v="2"/>
    <x v="2"/>
    <n v="3"/>
    <n v="149.99"/>
    <s v="Cash"/>
    <x v="2"/>
    <s v="Premium"/>
    <d v="2022-09-02T00:00:00"/>
    <n v="449.97"/>
    <d v="2026-10-21T23:09:13"/>
    <d v="2026-10-21T00:00:00"/>
    <s v="October"/>
    <n v="19"/>
  </r>
  <r>
    <s v="TRX0067"/>
    <x v="7"/>
    <s v="CUST043"/>
    <s v="Dennis Gray"/>
    <s v="P005"/>
    <x v="1"/>
    <x v="1"/>
    <n v="3"/>
    <n v="59.99"/>
    <s v="Credit Card"/>
    <x v="2"/>
    <s v="Standard"/>
    <d v="2024-02-29T00:00:00"/>
    <n v="179.97"/>
    <d v="2026-10-21T23:09:13"/>
    <d v="2026-10-21T00:00:00"/>
    <s v="March"/>
    <n v="1"/>
  </r>
  <r>
    <s v="TRX0191"/>
    <x v="7"/>
    <s v="CUST038"/>
    <s v="Michelle Rogers"/>
    <s v="P002"/>
    <x v="5"/>
    <x v="0"/>
    <n v="3"/>
    <n v="699.99"/>
    <s v="Credit Card"/>
    <x v="3"/>
    <s v="Basic"/>
    <d v="2022-01-16T00:00:00"/>
    <n v="2099.9699999999998"/>
    <d v="2026-10-21T23:09:13"/>
    <d v="2026-10-21T00:00:00"/>
    <s v="February"/>
    <n v="27"/>
  </r>
  <r>
    <s v="TRX0230"/>
    <x v="7"/>
    <s v="CUST027"/>
    <s v="George Adams"/>
    <s v="P001"/>
    <x v="4"/>
    <x v="0"/>
    <n v="1"/>
    <n v="899.99"/>
    <s v="Debit Card"/>
    <x v="2"/>
    <s v="Standard"/>
    <d v="2022-12-25T00:00:00"/>
    <n v="899.99"/>
    <d v="2026-10-21T23:09:13"/>
    <d v="2026-10-21T00:00:00"/>
    <s v="January"/>
    <n v="16"/>
  </r>
  <r>
    <s v="TRX0049"/>
    <x v="8"/>
    <s v="CUST025"/>
    <s v="Mark Carter"/>
    <s v="P008"/>
    <x v="2"/>
    <x v="2"/>
    <n v="4"/>
    <n v="149.99"/>
    <s v="Debit Card"/>
    <x v="2"/>
    <s v="Premium"/>
    <d v="2024-03-23T00:00:00"/>
    <n v="599.96"/>
    <d v="2026-10-21T23:09:13"/>
    <d v="2026-10-21T00:00:00"/>
    <s v="April"/>
    <n v="1"/>
  </r>
  <r>
    <s v="TRX0134"/>
    <x v="8"/>
    <s v="CUST010"/>
    <s v="Maria Garcia"/>
    <s v="P002"/>
    <x v="5"/>
    <x v="0"/>
    <n v="2"/>
    <n v="699.99"/>
    <s v="Cash"/>
    <x v="2"/>
    <s v="Basic"/>
    <d v="2022-08-08T00:00:00"/>
    <n v="1399.98"/>
    <d v="2026-10-21T23:09:13"/>
    <d v="2026-10-21T00:00:00"/>
    <s v="September"/>
    <n v="20"/>
  </r>
  <r>
    <s v="TRX0122"/>
    <x v="8"/>
    <s v="CUST025"/>
    <s v="Mark Carter"/>
    <s v="P001"/>
    <x v="4"/>
    <x v="0"/>
    <n v="4"/>
    <n v="899.99"/>
    <s v="Credit Card"/>
    <x v="3"/>
    <s v="Standard"/>
    <d v="2024-02-05T00:00:00"/>
    <n v="3599.96"/>
    <d v="2026-10-21T23:09:13"/>
    <d v="2026-10-21T00:00:00"/>
    <s v="March"/>
    <n v="2"/>
  </r>
  <r>
    <s v="TRX0222"/>
    <x v="8"/>
    <s v="CUST048"/>
    <s v="Virginia Sanders"/>
    <s v="P009"/>
    <x v="0"/>
    <x v="0"/>
    <n v="3"/>
    <n v="249.99"/>
    <s v="Credit Card"/>
    <x v="2"/>
    <s v="Premium"/>
    <d v="2023-10-25T00:00:00"/>
    <n v="749.97"/>
    <d v="2026-10-21T23:09:13"/>
    <d v="2026-10-21T00:00:00"/>
    <s v="November"/>
    <n v="6"/>
  </r>
  <r>
    <s v="TRX0231"/>
    <x v="9"/>
    <s v="CUST018"/>
    <s v="Barbara Young"/>
    <s v="P002"/>
    <x v="5"/>
    <x v="0"/>
    <n v="5"/>
    <n v="699.99"/>
    <s v="Cash"/>
    <x v="3"/>
    <s v="Basic"/>
    <d v="2023-08-29T00:00:00"/>
    <n v="3499.95"/>
    <d v="2026-10-21T23:09:13"/>
    <d v="2026-10-21T00:00:00"/>
    <s v="September"/>
    <n v="8"/>
  </r>
  <r>
    <s v="TRX0239"/>
    <x v="10"/>
    <s v="CUST012"/>
    <s v="Patricia Moore"/>
    <s v="P002"/>
    <x v="5"/>
    <x v="0"/>
    <n v="4"/>
    <n v="699.99"/>
    <s v="Cash"/>
    <x v="4"/>
    <s v="Standard"/>
    <d v="2021-08-01T00:00:00"/>
    <n v="2799.96"/>
    <d v="2026-10-21T23:09:13"/>
    <d v="2026-10-21T00:00:00"/>
    <s v="September"/>
    <n v="33"/>
  </r>
  <r>
    <s v="TRX0204"/>
    <x v="11"/>
    <s v="CUST044"/>
    <s v="Cynthia Price"/>
    <s v="P009"/>
    <x v="0"/>
    <x v="0"/>
    <n v="4"/>
    <n v="249.99"/>
    <s v="PayPal"/>
    <x v="2"/>
    <s v="Standard"/>
    <d v="2021-09-29T00:00:00"/>
    <n v="999.96"/>
    <d v="2026-10-21T23:09:13"/>
    <d v="2026-10-21T00:00:00"/>
    <s v="October"/>
    <n v="31"/>
  </r>
  <r>
    <s v="TRX0242"/>
    <x v="12"/>
    <s v="CUST025"/>
    <s v="Mark Carter"/>
    <s v="P007"/>
    <x v="6"/>
    <x v="2"/>
    <n v="4"/>
    <n v="299.99"/>
    <s v="Cash"/>
    <x v="3"/>
    <s v="Premium"/>
    <d v="2022-06-04T00:00:00"/>
    <n v="1199.96"/>
    <d v="2026-10-21T23:09:13"/>
    <d v="2026-10-21T00:00:00"/>
    <s v="July"/>
    <n v="23"/>
  </r>
  <r>
    <s v="TRX0071"/>
    <x v="13"/>
    <s v="CUST036"/>
    <s v="Nancy Collins"/>
    <s v="P009"/>
    <x v="0"/>
    <x v="0"/>
    <n v="5"/>
    <n v="249.99"/>
    <s v="Credit Card"/>
    <x v="3"/>
    <s v="Standard"/>
    <d v="2021-11-25T00:00:00"/>
    <n v="1249.95"/>
    <d v="2026-10-21T23:09:13"/>
    <d v="2026-10-21T00:00:00"/>
    <s v="December"/>
    <n v="29"/>
  </r>
  <r>
    <s v="TRX0040"/>
    <x v="14"/>
    <s v="CUST022"/>
    <s v="Susan Green"/>
    <s v="P007"/>
    <x v="6"/>
    <x v="2"/>
    <n v="5"/>
    <n v="299.99"/>
    <s v="PayPal"/>
    <x v="4"/>
    <s v="Basic"/>
    <d v="2023-08-30T00:00:00"/>
    <n v="1499.95"/>
    <d v="2026-10-21T23:09:13"/>
    <d v="2026-10-21T00:00:00"/>
    <s v="September"/>
    <n v="8"/>
  </r>
  <r>
    <s v="TRX0235"/>
    <x v="14"/>
    <s v="CUST014"/>
    <s v="Linda Martin"/>
    <s v="P004"/>
    <x v="7"/>
    <x v="1"/>
    <n v="3"/>
    <n v="79.989999999999995"/>
    <s v="PayPal"/>
    <x v="4"/>
    <s v="Premium"/>
    <d v="2023-03-27T00:00:00"/>
    <n v="239.97"/>
    <d v="2026-10-21T23:09:13"/>
    <d v="2026-10-21T00:00:00"/>
    <s v="April"/>
    <n v="13"/>
  </r>
  <r>
    <s v="TRX0004"/>
    <x v="14"/>
    <s v="CUST012"/>
    <s v="Patricia Moore"/>
    <s v="P010"/>
    <x v="8"/>
    <x v="0"/>
    <n v="5"/>
    <n v="89.99"/>
    <s v="Cash"/>
    <x v="2"/>
    <s v="Premium"/>
    <d v="2022-12-24T00:00:00"/>
    <n v="449.95"/>
    <d v="2026-10-21T23:09:13"/>
    <d v="2026-10-21T00:00:00"/>
    <s v="January"/>
    <n v="16"/>
  </r>
  <r>
    <s v="TRX0063"/>
    <x v="15"/>
    <s v="CUST030"/>
    <s v="Helen Roberts"/>
    <s v="P005"/>
    <x v="1"/>
    <x v="1"/>
    <n v="2"/>
    <n v="59.99"/>
    <s v="Debit Card"/>
    <x v="0"/>
    <s v="Standard"/>
    <d v="2023-10-15T00:00:00"/>
    <n v="119.98"/>
    <d v="2026-10-21T23:09:13"/>
    <d v="2026-10-21T00:00:00"/>
    <s v="November"/>
    <n v="6"/>
  </r>
  <r>
    <s v="TRX0241"/>
    <x v="16"/>
    <s v="CUST029"/>
    <s v="Edward Mitchell"/>
    <s v="P005"/>
    <x v="1"/>
    <x v="1"/>
    <n v="4"/>
    <n v="59.99"/>
    <s v="Debit Card"/>
    <x v="4"/>
    <s v="Standard"/>
    <d v="2022-11-02T00:00:00"/>
    <n v="239.96"/>
    <d v="2026-10-21T23:09:13"/>
    <d v="2026-10-21T00:00:00"/>
    <s v="December"/>
    <n v="18"/>
  </r>
  <r>
    <s v="TRX0029"/>
    <x v="16"/>
    <s v="CUST017"/>
    <s v="Charles Allen"/>
    <s v="P006"/>
    <x v="9"/>
    <x v="2"/>
    <n v="5"/>
    <n v="199.99"/>
    <s v="Cash"/>
    <x v="1"/>
    <s v="Standard"/>
    <d v="2021-08-04T00:00:00"/>
    <n v="999.95"/>
    <d v="2026-10-21T23:09:13"/>
    <d v="2026-10-21T00:00:00"/>
    <s v="September"/>
    <n v="33"/>
  </r>
  <r>
    <s v="TRX0194"/>
    <x v="17"/>
    <s v="CUST006"/>
    <s v="Lisa Anderson"/>
    <s v="P008"/>
    <x v="2"/>
    <x v="2"/>
    <n v="2"/>
    <n v="149.99"/>
    <s v="Credit Card"/>
    <x v="3"/>
    <s v="Basic"/>
    <d v="2022-09-19T00:00:00"/>
    <n v="299.98"/>
    <d v="2026-10-21T23:09:13"/>
    <d v="2026-10-21T00:00:00"/>
    <s v="October"/>
    <n v="19"/>
  </r>
  <r>
    <s v="TRX0130"/>
    <x v="18"/>
    <s v="CUST002"/>
    <s v="Emma Wilson"/>
    <s v="P008"/>
    <x v="2"/>
    <x v="2"/>
    <n v="3"/>
    <n v="149.99"/>
    <s v="Credit Card"/>
    <x v="3"/>
    <s v="Premium"/>
    <d v="2023-05-22T00:00:00"/>
    <n v="449.97"/>
    <d v="2026-10-21T23:09:13"/>
    <d v="2026-10-21T00:00:00"/>
    <s v="June"/>
    <n v="11"/>
  </r>
  <r>
    <s v="TRX0041"/>
    <x v="19"/>
    <s v="CUST021"/>
    <s v="Kevin Scott"/>
    <s v="P001"/>
    <x v="4"/>
    <x v="0"/>
    <n v="1"/>
    <n v="899.99"/>
    <s v="Credit Card"/>
    <x v="3"/>
    <s v="Premium"/>
    <d v="2022-01-17T00:00:00"/>
    <n v="899.99"/>
    <d v="2026-10-21T23:09:13"/>
    <d v="2026-10-21T00:00:00"/>
    <s v="February"/>
    <n v="28"/>
  </r>
  <r>
    <s v="TRX0232"/>
    <x v="20"/>
    <s v="CUST012"/>
    <s v="Patricia Moore"/>
    <s v="P007"/>
    <x v="6"/>
    <x v="2"/>
    <n v="3"/>
    <n v="299.99"/>
    <s v="Credit Card"/>
    <x v="4"/>
    <s v="Basic"/>
    <d v="2022-09-20T00:00:00"/>
    <n v="899.97"/>
    <d v="2026-10-21T23:09:13"/>
    <d v="2026-10-21T00:00:00"/>
    <s v="October"/>
    <n v="20"/>
  </r>
  <r>
    <s v="TRX0021"/>
    <x v="21"/>
    <s v="CUST006"/>
    <s v="Lisa Anderson"/>
    <s v="P004"/>
    <x v="7"/>
    <x v="1"/>
    <n v="3"/>
    <n v="79.989999999999995"/>
    <s v="Cash"/>
    <x v="1"/>
    <s v="Basic"/>
    <d v="2023-04-30T00:00:00"/>
    <n v="239.97"/>
    <d v="2026-10-21T23:09:13"/>
    <d v="2026-10-21T00:00:00"/>
    <s v="May"/>
    <n v="12"/>
  </r>
  <r>
    <s v="TRX0245"/>
    <x v="22"/>
    <s v="CUST031"/>
    <s v="Steven Turner"/>
    <s v="P006"/>
    <x v="9"/>
    <x v="2"/>
    <n v="3"/>
    <n v="199.99"/>
    <s v="Credit Card"/>
    <x v="2"/>
    <s v="Premium"/>
    <d v="2024-01-01T00:00:00"/>
    <n v="599.97"/>
    <d v="2026-10-21T23:09:13"/>
    <d v="2026-10-21T00:00:00"/>
    <s v="February"/>
    <n v="4"/>
  </r>
  <r>
    <s v="TRX0015"/>
    <x v="23"/>
    <s v="CUST008"/>
    <s v="Jennifer Taylor"/>
    <s v="P002"/>
    <x v="5"/>
    <x v="0"/>
    <n v="5"/>
    <n v="699.99"/>
    <s v="PayPal"/>
    <x v="3"/>
    <s v="Standard"/>
    <d v="2021-07-30T00:00:00"/>
    <n v="3499.95"/>
    <d v="2026-10-21T23:09:13"/>
    <d v="2026-10-21T00:00:00"/>
    <s v="August"/>
    <n v="33"/>
  </r>
  <r>
    <s v="TRX0202"/>
    <x v="24"/>
    <s v="CUST035"/>
    <s v="Harry Morgan"/>
    <s v="P010"/>
    <x v="8"/>
    <x v="0"/>
    <n v="3"/>
    <n v="89.99"/>
    <s v="PayPal"/>
    <x v="0"/>
    <s v="Premium"/>
    <d v="2023-07-13T00:00:00"/>
    <n v="269.97000000000003"/>
    <d v="2026-10-21T23:09:13"/>
    <d v="2026-10-21T00:00:00"/>
    <s v="August"/>
    <n v="10"/>
  </r>
  <r>
    <s v="TRX0042"/>
    <x v="25"/>
    <s v="CUST019"/>
    <s v="Daniel King"/>
    <s v="P004"/>
    <x v="7"/>
    <x v="1"/>
    <n v="1"/>
    <n v="79.989999999999995"/>
    <s v="Cash"/>
    <x v="2"/>
    <s v="Standard"/>
    <d v="2022-12-22T00:00:00"/>
    <n v="79.989999999999995"/>
    <d v="2026-10-21T23:09:13"/>
    <d v="2026-10-21T00:00:00"/>
    <s v="January"/>
    <n v="17"/>
  </r>
  <r>
    <s v="TRX0128"/>
    <x v="26"/>
    <s v="CUST040"/>
    <s v="Sharon Butler"/>
    <s v="P005"/>
    <x v="1"/>
    <x v="1"/>
    <n v="2"/>
    <n v="59.99"/>
    <s v="Cash"/>
    <x v="3"/>
    <s v="Basic"/>
    <d v="2024-04-08T00:00:00"/>
    <n v="119.98"/>
    <d v="2026-10-21T23:09:13"/>
    <d v="2026-10-21T00:00:00"/>
    <s v="May"/>
    <n v="1"/>
  </r>
  <r>
    <s v="TRX0117"/>
    <x v="26"/>
    <s v="CUST017"/>
    <s v="Charles Allen"/>
    <s v="P010"/>
    <x v="8"/>
    <x v="0"/>
    <n v="1"/>
    <n v="89.99"/>
    <s v="Cash"/>
    <x v="2"/>
    <s v="Basic"/>
    <d v="2023-08-03T00:00:00"/>
    <n v="89.99"/>
    <d v="2026-10-21T23:09:13"/>
    <d v="2026-10-21T00:00:00"/>
    <s v="September"/>
    <n v="9"/>
  </r>
  <r>
    <s v="TRX0208"/>
    <x v="27"/>
    <s v="CUST004"/>
    <s v="Sarah Davis"/>
    <s v="P010"/>
    <x v="8"/>
    <x v="0"/>
    <n v="5"/>
    <n v="89.99"/>
    <s v="Credit Card"/>
    <x v="4"/>
    <s v="Standard"/>
    <d v="2022-01-26T00:00:00"/>
    <n v="449.95"/>
    <d v="2026-10-21T23:09:13"/>
    <d v="2026-10-21T00:00:00"/>
    <s v="February"/>
    <n v="28"/>
  </r>
  <r>
    <s v="TRX0234"/>
    <x v="28"/>
    <s v="CUST013"/>
    <s v="Joseph Jackson"/>
    <s v="P009"/>
    <x v="0"/>
    <x v="0"/>
    <n v="5"/>
    <n v="249.99"/>
    <s v="Credit Card"/>
    <x v="4"/>
    <s v="Standard"/>
    <d v="2022-05-26T00:00:00"/>
    <n v="1249.95"/>
    <d v="2026-10-21T23:09:13"/>
    <d v="2026-10-21T00:00:00"/>
    <s v="June"/>
    <n v="24"/>
  </r>
  <r>
    <s v="TRX0121"/>
    <x v="28"/>
    <s v="CUST028"/>
    <s v="Betty Campbell"/>
    <s v="P010"/>
    <x v="8"/>
    <x v="0"/>
    <n v="1"/>
    <n v="89.99"/>
    <s v="Credit Card"/>
    <x v="1"/>
    <s v="Standard"/>
    <d v="2022-01-21T00:00:00"/>
    <n v="89.99"/>
    <d v="2026-10-21T23:09:13"/>
    <d v="2026-10-21T00:00:00"/>
    <s v="February"/>
    <n v="28"/>
  </r>
  <r>
    <s v="TRX0220"/>
    <x v="29"/>
    <s v="CUST003"/>
    <s v="Michael Brown"/>
    <s v="P008"/>
    <x v="2"/>
    <x v="2"/>
    <n v="2"/>
    <n v="149.99"/>
    <s v="Cash"/>
    <x v="4"/>
    <s v="Premium"/>
    <d v="2022-03-25T00:00:00"/>
    <n v="299.98"/>
    <d v="2026-10-21T23:09:13"/>
    <d v="2026-10-21T00:00:00"/>
    <s v="April"/>
    <n v="26"/>
  </r>
  <r>
    <s v="TRX0093"/>
    <x v="30"/>
    <s v="CUST050"/>
    <s v="Julie Foster"/>
    <s v="P005"/>
    <x v="1"/>
    <x v="1"/>
    <n v="4"/>
    <n v="59.99"/>
    <s v="Cash"/>
    <x v="4"/>
    <s v="Standard"/>
    <d v="2021-08-27T00:00:00"/>
    <n v="239.96"/>
    <d v="2026-10-21T23:09:13"/>
    <d v="2026-10-21T00:00:00"/>
    <s v="September"/>
    <n v="33"/>
  </r>
  <r>
    <s v="TRX0088"/>
    <x v="31"/>
    <s v="CUST006"/>
    <s v="Lisa Anderson"/>
    <s v="P010"/>
    <x v="8"/>
    <x v="0"/>
    <n v="5"/>
    <n v="89.99"/>
    <s v="Cash"/>
    <x v="0"/>
    <s v="Premium"/>
    <d v="2022-01-18T00:00:00"/>
    <n v="449.95"/>
    <d v="2026-10-21T23:09:13"/>
    <d v="2026-10-21T00:00:00"/>
    <s v="February"/>
    <n v="28"/>
  </r>
  <r>
    <s v="TRX0115"/>
    <x v="32"/>
    <s v="CUST012"/>
    <s v="Patricia Moore"/>
    <s v="P010"/>
    <x v="8"/>
    <x v="0"/>
    <n v="2"/>
    <n v="89.99"/>
    <s v="Credit Card"/>
    <x v="1"/>
    <s v="Premium"/>
    <d v="2021-10-02T00:00:00"/>
    <n v="179.98"/>
    <d v="2026-10-21T23:09:13"/>
    <d v="2026-10-21T00:00:00"/>
    <s v="November"/>
    <n v="32"/>
  </r>
  <r>
    <s v="TRX0154"/>
    <x v="32"/>
    <s v="CUST023"/>
    <s v="Paul Baker"/>
    <s v="P001"/>
    <x v="4"/>
    <x v="0"/>
    <n v="5"/>
    <n v="899.99"/>
    <s v="Credit Card"/>
    <x v="1"/>
    <s v="Standard"/>
    <d v="2023-02-17T00:00:00"/>
    <n v="4499.95"/>
    <d v="2026-10-21T23:09:13"/>
    <d v="2026-10-21T00:00:00"/>
    <s v="March"/>
    <n v="15"/>
  </r>
  <r>
    <s v="TRX0044"/>
    <x v="32"/>
    <s v="CUST029"/>
    <s v="Edward Mitchell"/>
    <s v="P001"/>
    <x v="4"/>
    <x v="0"/>
    <n v="5"/>
    <n v="899.99"/>
    <s v="PayPal"/>
    <x v="4"/>
    <s v="Premium"/>
    <d v="2023-12-18T00:00:00"/>
    <n v="4499.95"/>
    <d v="2026-10-21T23:09:13"/>
    <d v="2026-10-21T00:00:00"/>
    <s v="January"/>
    <n v="5"/>
  </r>
  <r>
    <s v="TRX0061"/>
    <x v="33"/>
    <s v="CUST028"/>
    <s v="Betty Campbell"/>
    <s v="P005"/>
    <x v="1"/>
    <x v="1"/>
    <n v="1"/>
    <n v="59.99"/>
    <s v="Debit Card"/>
    <x v="3"/>
    <s v="Premium"/>
    <d v="2023-09-21T00:00:00"/>
    <n v="59.99"/>
    <d v="2026-10-21T23:09:13"/>
    <d v="2026-10-21T00:00:00"/>
    <s v="October"/>
    <n v="8"/>
  </r>
  <r>
    <s v="TRX0150"/>
    <x v="33"/>
    <s v="CUST008"/>
    <s v="Jennifer Taylor"/>
    <s v="P007"/>
    <x v="6"/>
    <x v="2"/>
    <n v="2"/>
    <n v="299.99"/>
    <s v="Debit Card"/>
    <x v="4"/>
    <s v="Standard"/>
    <d v="2023-11-23T00:00:00"/>
    <n v="599.98"/>
    <d v="2026-10-21T23:09:13"/>
    <d v="2026-10-21T00:00:00"/>
    <s v="December"/>
    <n v="6"/>
  </r>
  <r>
    <s v="TRX0025"/>
    <x v="34"/>
    <s v="CUST049"/>
    <s v="Raymond Ross"/>
    <s v="P010"/>
    <x v="8"/>
    <x v="0"/>
    <n v="4"/>
    <n v="89.99"/>
    <s v="Debit Card"/>
    <x v="1"/>
    <s v="Basic"/>
    <d v="2023-12-21T00:00:00"/>
    <n v="359.96"/>
    <d v="2026-10-21T23:09:13"/>
    <d v="2026-10-21T00:00:00"/>
    <s v="January"/>
    <n v="6"/>
  </r>
  <r>
    <s v="TRX0078"/>
    <x v="35"/>
    <s v="CUST021"/>
    <s v="Kevin Scott"/>
    <s v="P004"/>
    <x v="7"/>
    <x v="1"/>
    <n v="1"/>
    <n v="79.989999999999995"/>
    <s v="PayPal"/>
    <x v="0"/>
    <s v="Premium"/>
    <d v="2024-03-01T00:00:00"/>
    <n v="79.989999999999995"/>
    <d v="2026-10-21T23:09:13"/>
    <d v="2026-10-21T00:00:00"/>
    <s v="April"/>
    <n v="3"/>
  </r>
  <r>
    <s v="TRX0007"/>
    <x v="35"/>
    <s v="CUST009"/>
    <s v="Robert Thomas"/>
    <s v="P010"/>
    <x v="8"/>
    <x v="0"/>
    <n v="2"/>
    <n v="89.99"/>
    <s v="Cash"/>
    <x v="3"/>
    <s v="Basic"/>
    <d v="2021-08-30T00:00:00"/>
    <n v="179.98"/>
    <d v="2026-10-21T23:09:13"/>
    <d v="2026-10-21T00:00:00"/>
    <s v="September"/>
    <n v="33"/>
  </r>
  <r>
    <s v="TRX0184"/>
    <x v="36"/>
    <s v="CUST046"/>
    <s v="Kathleen Bennett"/>
    <s v="P002"/>
    <x v="5"/>
    <x v="0"/>
    <n v="3"/>
    <n v="699.99"/>
    <s v="Credit Card"/>
    <x v="4"/>
    <s v="Premium"/>
    <d v="2023-06-25T00:00:00"/>
    <n v="2099.9699999999998"/>
    <d v="2026-10-21T23:09:13"/>
    <d v="2026-10-21T00:00:00"/>
    <s v="July"/>
    <n v="12"/>
  </r>
  <r>
    <s v="TRX0104"/>
    <x v="36"/>
    <s v="CUST012"/>
    <s v="Patricia Moore"/>
    <s v="P001"/>
    <x v="4"/>
    <x v="0"/>
    <n v="4"/>
    <n v="899.99"/>
    <s v="Credit Card"/>
    <x v="4"/>
    <s v="Premium"/>
    <d v="2023-03-08T00:00:00"/>
    <n v="3599.96"/>
    <d v="2026-10-21T23:09:13"/>
    <d v="2026-10-21T00:00:00"/>
    <s v="April"/>
    <n v="15"/>
  </r>
  <r>
    <s v="TRX0127"/>
    <x v="37"/>
    <s v="CUST030"/>
    <s v="Helen Roberts"/>
    <s v="P008"/>
    <x v="2"/>
    <x v="2"/>
    <n v="1"/>
    <n v="149.99"/>
    <s v="PayPal"/>
    <x v="4"/>
    <s v="Basic"/>
    <d v="2022-10-17T00:00:00"/>
    <n v="149.99"/>
    <d v="2026-10-21T23:09:13"/>
    <d v="2026-10-21T00:00:00"/>
    <s v="November"/>
    <n v="20"/>
  </r>
  <r>
    <s v="TRX0096"/>
    <x v="38"/>
    <s v="CUST002"/>
    <s v="Emma Wilson"/>
    <s v="P010"/>
    <x v="8"/>
    <x v="0"/>
    <n v="2"/>
    <n v="89.99"/>
    <s v="PayPal"/>
    <x v="0"/>
    <s v="Premium"/>
    <d v="2023-12-15T00:00:00"/>
    <n v="179.98"/>
    <d v="2026-10-21T23:09:13"/>
    <d v="2026-10-21T00:00:00"/>
    <s v="January"/>
    <n v="6"/>
  </r>
  <r>
    <s v="TRX0192"/>
    <x v="39"/>
    <s v="CUST017"/>
    <s v="Charles Allen"/>
    <s v="P010"/>
    <x v="8"/>
    <x v="0"/>
    <n v="1"/>
    <n v="89.99"/>
    <s v="PayPal"/>
    <x v="3"/>
    <s v="Standard"/>
    <d v="2022-08-29T00:00:00"/>
    <n v="89.99"/>
    <d v="2026-10-21T23:09:13"/>
    <d v="2026-10-21T00:00:00"/>
    <s v="September"/>
    <n v="22"/>
  </r>
  <r>
    <s v="TRX0052"/>
    <x v="40"/>
    <s v="CUST022"/>
    <s v="Susan Green"/>
    <s v="P010"/>
    <x v="8"/>
    <x v="0"/>
    <n v="1"/>
    <n v="89.99"/>
    <s v="Cash"/>
    <x v="1"/>
    <s v="Standard"/>
    <d v="2022-02-19T00:00:00"/>
    <n v="89.99"/>
    <d v="2026-10-21T23:09:13"/>
    <d v="2026-10-21T00:00:00"/>
    <s v="March"/>
    <n v="28"/>
  </r>
  <r>
    <s v="TRX0070"/>
    <x v="40"/>
    <s v="CUST007"/>
    <s v="David Martinez"/>
    <s v="P004"/>
    <x v="7"/>
    <x v="1"/>
    <n v="5"/>
    <n v="79.989999999999995"/>
    <s v="Debit Card"/>
    <x v="0"/>
    <s v="Basic"/>
    <d v="2023-02-24T00:00:00"/>
    <n v="399.95"/>
    <d v="2026-10-21T23:09:13"/>
    <d v="2026-10-21T00:00:00"/>
    <s v="March"/>
    <n v="16"/>
  </r>
  <r>
    <s v="TRX0086"/>
    <x v="41"/>
    <s v="CUST020"/>
    <s v="Margaret Wright"/>
    <s v="P008"/>
    <x v="2"/>
    <x v="2"/>
    <n v="1"/>
    <n v="149.99"/>
    <s v="PayPal"/>
    <x v="2"/>
    <s v="Basic"/>
    <d v="2021-08-13T00:00:00"/>
    <n v="149.99"/>
    <d v="2026-10-21T23:09:13"/>
    <d v="2026-10-21T00:00:00"/>
    <s v="September"/>
    <n v="34"/>
  </r>
  <r>
    <s v="TRX0113"/>
    <x v="41"/>
    <s v="CUST003"/>
    <s v="Michael Brown"/>
    <s v="P002"/>
    <x v="5"/>
    <x v="0"/>
    <n v="2"/>
    <n v="699.99"/>
    <s v="PayPal"/>
    <x v="4"/>
    <s v="Premium"/>
    <d v="2024-04-07T00:00:00"/>
    <n v="1399.98"/>
    <d v="2026-10-21T23:09:13"/>
    <d v="2026-10-21T00:00:00"/>
    <s v="May"/>
    <n v="3"/>
  </r>
  <r>
    <s v="TRX0114"/>
    <x v="41"/>
    <s v="CUST018"/>
    <s v="Barbara Young"/>
    <s v="P010"/>
    <x v="8"/>
    <x v="0"/>
    <n v="5"/>
    <n v="89.99"/>
    <s v="Debit Card"/>
    <x v="2"/>
    <s v="Premium"/>
    <d v="2023-08-23T00:00:00"/>
    <n v="449.95"/>
    <d v="2026-10-21T23:09:13"/>
    <d v="2026-10-21T00:00:00"/>
    <s v="September"/>
    <n v="10"/>
  </r>
  <r>
    <s v="TRX0136"/>
    <x v="42"/>
    <s v="CUST049"/>
    <s v="Raymond Ross"/>
    <s v="P005"/>
    <x v="1"/>
    <x v="1"/>
    <n v="4"/>
    <n v="59.99"/>
    <s v="Cash"/>
    <x v="1"/>
    <s v="Standard"/>
    <d v="2021-11-09T00:00:00"/>
    <n v="239.96"/>
    <d v="2026-10-21T23:09:13"/>
    <d v="2026-10-21T00:00:00"/>
    <s v="December"/>
    <n v="32"/>
  </r>
  <r>
    <s v="TRX0018"/>
    <x v="43"/>
    <s v="CUST013"/>
    <s v="Joseph Jackson"/>
    <s v="P003"/>
    <x v="3"/>
    <x v="0"/>
    <n v="1"/>
    <n v="149.99"/>
    <s v="Cash"/>
    <x v="0"/>
    <s v="Standard"/>
    <d v="2022-12-14T00:00:00"/>
    <n v="149.99"/>
    <d v="2026-10-21T23:09:13"/>
    <d v="2026-10-21T00:00:00"/>
    <s v="January"/>
    <n v="18"/>
  </r>
  <r>
    <s v="TRX0141"/>
    <x v="43"/>
    <s v="CUST033"/>
    <s v="Frank Torres"/>
    <s v="P007"/>
    <x v="6"/>
    <x v="2"/>
    <n v="1"/>
    <n v="299.99"/>
    <s v="Credit Card"/>
    <x v="2"/>
    <s v="Premium"/>
    <d v="2022-11-26T00:00:00"/>
    <n v="299.99"/>
    <d v="2026-10-21T23:09:13"/>
    <d v="2026-10-21T00:00:00"/>
    <s v="December"/>
    <n v="19"/>
  </r>
  <r>
    <s v="TRX0097"/>
    <x v="44"/>
    <s v="CUST033"/>
    <s v="Frank Torres"/>
    <s v="P006"/>
    <x v="9"/>
    <x v="2"/>
    <n v="2"/>
    <n v="199.99"/>
    <s v="Cash"/>
    <x v="2"/>
    <s v="Basic"/>
    <d v="2021-12-11T00:00:00"/>
    <n v="399.98"/>
    <d v="2026-10-21T23:09:13"/>
    <d v="2026-10-21T00:00:00"/>
    <s v="January"/>
    <n v="31"/>
  </r>
  <r>
    <s v="TRX0169"/>
    <x v="45"/>
    <s v="CUST047"/>
    <s v="Gerald Murphy"/>
    <s v="P005"/>
    <x v="1"/>
    <x v="1"/>
    <n v="3"/>
    <n v="59.99"/>
    <s v="Credit Card"/>
    <x v="3"/>
    <s v="Basic"/>
    <d v="2023-07-23T00:00:00"/>
    <n v="179.97"/>
    <d v="2026-10-21T23:09:13"/>
    <d v="2026-10-21T00:00:00"/>
    <s v="August"/>
    <n v="11"/>
  </r>
  <r>
    <s v="TRX0216"/>
    <x v="45"/>
    <s v="CUST041"/>
    <s v="Peter Richardson"/>
    <s v="P008"/>
    <x v="2"/>
    <x v="2"/>
    <n v="3"/>
    <n v="149.99"/>
    <s v="Cash"/>
    <x v="0"/>
    <s v="Premium"/>
    <d v="2023-09-30T00:00:00"/>
    <n v="449.97"/>
    <d v="2026-10-21T23:09:13"/>
    <d v="2026-10-21T00:00:00"/>
    <s v="October"/>
    <n v="9"/>
  </r>
  <r>
    <s v="TRX0131"/>
    <x v="46"/>
    <s v="CUST026"/>
    <s v="Karen Hill"/>
    <s v="P006"/>
    <x v="9"/>
    <x v="2"/>
    <n v="3"/>
    <n v="199.99"/>
    <s v="Cash"/>
    <x v="2"/>
    <s v="Premium"/>
    <d v="2023-11-24T00:00:00"/>
    <n v="599.97"/>
    <d v="2026-10-21T23:09:13"/>
    <d v="2026-10-21T00:00:00"/>
    <s v="December"/>
    <n v="7"/>
  </r>
  <r>
    <s v="TRX0162"/>
    <x v="47"/>
    <s v="CUST040"/>
    <s v="Sharon Butler"/>
    <s v="P001"/>
    <x v="4"/>
    <x v="0"/>
    <n v="1"/>
    <n v="899.99"/>
    <s v="Cash"/>
    <x v="0"/>
    <s v="Standard"/>
    <d v="2023-09-10T00:00:00"/>
    <n v="899.99"/>
    <d v="2026-10-21T23:09:13"/>
    <d v="2026-10-21T00:00:00"/>
    <s v="October"/>
    <n v="10"/>
  </r>
  <r>
    <s v="TRX0244"/>
    <x v="48"/>
    <s v="CUST013"/>
    <s v="Joseph Jackson"/>
    <s v="P001"/>
    <x v="4"/>
    <x v="0"/>
    <n v="5"/>
    <n v="899.99"/>
    <s v="Debit Card"/>
    <x v="1"/>
    <s v="Standard"/>
    <d v="2022-12-04T00:00:00"/>
    <n v="4499.95"/>
    <d v="2026-10-21T23:09:13"/>
    <d v="2026-10-21T00:00:00"/>
    <s v="January"/>
    <n v="19"/>
  </r>
  <r>
    <s v="TRX0006"/>
    <x v="49"/>
    <s v="CUST007"/>
    <s v="David Martinez"/>
    <s v="P005"/>
    <x v="1"/>
    <x v="1"/>
    <n v="2"/>
    <n v="59.99"/>
    <s v="Cash"/>
    <x v="2"/>
    <s v="Standard"/>
    <d v="2023-08-14T00:00:00"/>
    <n v="119.98"/>
    <d v="2026-10-21T23:09:13"/>
    <d v="2026-10-21T00:00:00"/>
    <s v="September"/>
    <n v="11"/>
  </r>
  <r>
    <s v="TRX0215"/>
    <x v="49"/>
    <s v="CUST047"/>
    <s v="Gerald Murphy"/>
    <s v="P009"/>
    <x v="0"/>
    <x v="0"/>
    <n v="4"/>
    <n v="249.99"/>
    <s v="Debit Card"/>
    <x v="0"/>
    <s v="Standard"/>
    <d v="2023-07-20T00:00:00"/>
    <n v="999.96"/>
    <d v="2026-10-21T23:09:13"/>
    <d v="2026-10-21T00:00:00"/>
    <s v="August"/>
    <n v="12"/>
  </r>
  <r>
    <s v="TRX0080"/>
    <x v="50"/>
    <s v="CUST018"/>
    <s v="Barbara Young"/>
    <s v="P009"/>
    <x v="0"/>
    <x v="0"/>
    <n v="2"/>
    <n v="249.99"/>
    <s v="Cash"/>
    <x v="2"/>
    <s v="Premium"/>
    <d v="2023-08-26T00:00:00"/>
    <n v="499.98"/>
    <d v="2026-10-21T23:09:13"/>
    <d v="2026-10-21T00:00:00"/>
    <s v="September"/>
    <n v="11"/>
  </r>
  <r>
    <s v="TRX0228"/>
    <x v="50"/>
    <s v="CUST019"/>
    <s v="Daniel King"/>
    <s v="P007"/>
    <x v="6"/>
    <x v="2"/>
    <n v="1"/>
    <n v="299.99"/>
    <s v="Cash"/>
    <x v="1"/>
    <s v="Basic"/>
    <d v="2023-02-25T00:00:00"/>
    <n v="299.99"/>
    <d v="2026-10-21T23:09:13"/>
    <d v="2026-10-21T00:00:00"/>
    <s v="March"/>
    <n v="17"/>
  </r>
  <r>
    <s v="TRX0157"/>
    <x v="51"/>
    <s v="CUST025"/>
    <s v="Mark Carter"/>
    <s v="P010"/>
    <x v="8"/>
    <x v="0"/>
    <n v="2"/>
    <n v="89.99"/>
    <s v="PayPal"/>
    <x v="1"/>
    <s v="Basic"/>
    <d v="2023-02-19T00:00:00"/>
    <n v="179.98"/>
    <d v="2026-10-21T23:09:13"/>
    <d v="2026-10-21T00:00:00"/>
    <s v="March"/>
    <n v="17"/>
  </r>
  <r>
    <s v="TRX0002"/>
    <x v="51"/>
    <s v="CUST019"/>
    <s v="Daniel King"/>
    <s v="P007"/>
    <x v="6"/>
    <x v="2"/>
    <n v="3"/>
    <n v="299.99"/>
    <s v="Cash"/>
    <x v="0"/>
    <s v="Basic"/>
    <d v="2022-06-20T00:00:00"/>
    <n v="899.97"/>
    <d v="2026-10-21T23:09:13"/>
    <d v="2026-10-21T00:00:00"/>
    <s v="July"/>
    <n v="25"/>
  </r>
  <r>
    <s v="TRX0217"/>
    <x v="52"/>
    <s v="CUST025"/>
    <s v="Mark Carter"/>
    <s v="P002"/>
    <x v="5"/>
    <x v="0"/>
    <n v="2"/>
    <n v="699.99"/>
    <s v="Credit Card"/>
    <x v="2"/>
    <s v="Premium"/>
    <d v="2023-03-14T00:00:00"/>
    <n v="1399.98"/>
    <d v="2026-10-21T23:09:13"/>
    <d v="2026-10-21T00:00:00"/>
    <s v="April"/>
    <n v="16"/>
  </r>
  <r>
    <s v="TRX0249"/>
    <x v="53"/>
    <s v="CUST030"/>
    <s v="Helen Roberts"/>
    <s v="P001"/>
    <x v="4"/>
    <x v="0"/>
    <n v="4"/>
    <n v="899.99"/>
    <s v="Debit Card"/>
    <x v="1"/>
    <s v="Standard"/>
    <d v="2021-11-23T00:00:00"/>
    <n v="3599.96"/>
    <d v="2026-10-21T23:09:13"/>
    <d v="2026-10-21T00:00:00"/>
    <s v="December"/>
    <n v="32"/>
  </r>
  <r>
    <s v="TRX0065"/>
    <x v="54"/>
    <s v="CUST016"/>
    <s v="Elizabeth Hall"/>
    <s v="P008"/>
    <x v="2"/>
    <x v="2"/>
    <n v="2"/>
    <n v="149.99"/>
    <s v="Credit Card"/>
    <x v="3"/>
    <s v="Basic"/>
    <d v="2021-12-12T00:00:00"/>
    <n v="299.98"/>
    <d v="2026-10-21T23:09:13"/>
    <d v="2026-10-21T00:00:00"/>
    <s v="January"/>
    <n v="31"/>
  </r>
  <r>
    <s v="TRX0176"/>
    <x v="55"/>
    <s v="CUST044"/>
    <s v="Cynthia Price"/>
    <s v="P008"/>
    <x v="2"/>
    <x v="2"/>
    <n v="2"/>
    <n v="149.99"/>
    <s v="Debit Card"/>
    <x v="4"/>
    <s v="Standard"/>
    <d v="2022-04-16T00:00:00"/>
    <n v="299.98"/>
    <d v="2026-10-21T23:09:13"/>
    <d v="2026-10-21T00:00:00"/>
    <s v="May"/>
    <n v="27"/>
  </r>
  <r>
    <s v="TRX0101"/>
    <x v="56"/>
    <s v="CUST010"/>
    <s v="Maria Garcia"/>
    <s v="P010"/>
    <x v="8"/>
    <x v="0"/>
    <n v="1"/>
    <n v="89.99"/>
    <s v="Credit Card"/>
    <x v="2"/>
    <s v="Standard"/>
    <d v="2024-04-11T00:00:00"/>
    <n v="89.99"/>
    <d v="2026-10-21T23:09:13"/>
    <d v="2026-10-21T00:00:00"/>
    <s v="May"/>
    <n v="3"/>
  </r>
  <r>
    <s v="TRX0205"/>
    <x v="57"/>
    <s v="CUST025"/>
    <s v="Mark Carter"/>
    <s v="P007"/>
    <x v="6"/>
    <x v="2"/>
    <n v="5"/>
    <n v="299.99"/>
    <s v="Credit Card"/>
    <x v="2"/>
    <s v="Basic"/>
    <d v="2023-02-08T00:00:00"/>
    <n v="1499.95"/>
    <d v="2026-10-21T23:09:13"/>
    <d v="2026-10-21T00:00:00"/>
    <s v="March"/>
    <n v="18"/>
  </r>
  <r>
    <s v="TRX0020"/>
    <x v="58"/>
    <s v="CUST007"/>
    <s v="David Martinez"/>
    <s v="P003"/>
    <x v="3"/>
    <x v="0"/>
    <n v="4"/>
    <n v="149.99"/>
    <s v="Debit Card"/>
    <x v="1"/>
    <s v="Premium"/>
    <d v="2022-09-16T00:00:00"/>
    <n v="599.96"/>
    <d v="2026-10-21T23:09:13"/>
    <d v="2026-10-21T00:00:00"/>
    <s v="October"/>
    <n v="22"/>
  </r>
  <r>
    <s v="TRX0075"/>
    <x v="58"/>
    <s v="CUST020"/>
    <s v="Margaret Wright"/>
    <s v="P009"/>
    <x v="0"/>
    <x v="0"/>
    <n v="5"/>
    <n v="249.99"/>
    <s v="PayPal"/>
    <x v="4"/>
    <s v="Premium"/>
    <d v="2022-08-09T00:00:00"/>
    <n v="1249.95"/>
    <d v="2026-10-21T23:09:13"/>
    <d v="2026-10-21T00:00:00"/>
    <s v="September"/>
    <n v="24"/>
  </r>
  <r>
    <s v="TRX0098"/>
    <x v="58"/>
    <s v="CUST026"/>
    <s v="Karen Hill"/>
    <s v="P009"/>
    <x v="0"/>
    <x v="0"/>
    <n v="3"/>
    <n v="249.99"/>
    <s v="PayPal"/>
    <x v="2"/>
    <s v="Premium"/>
    <d v="2021-09-26T00:00:00"/>
    <n v="749.97"/>
    <d v="2026-10-21T23:09:13"/>
    <d v="2026-10-21T00:00:00"/>
    <s v="October"/>
    <n v="34"/>
  </r>
  <r>
    <s v="TRX0247"/>
    <x v="58"/>
    <s v="CUST046"/>
    <s v="Kathleen Bennett"/>
    <s v="P006"/>
    <x v="9"/>
    <x v="2"/>
    <n v="4"/>
    <n v="199.99"/>
    <s v="Cash"/>
    <x v="2"/>
    <s v="Standard"/>
    <d v="2021-09-19T00:00:00"/>
    <n v="799.96"/>
    <d v="2026-10-21T23:09:13"/>
    <d v="2026-10-21T00:00:00"/>
    <s v="October"/>
    <n v="34"/>
  </r>
  <r>
    <s v="TRX0027"/>
    <x v="59"/>
    <s v="CUST028"/>
    <s v="Betty Campbell"/>
    <s v="P006"/>
    <x v="9"/>
    <x v="2"/>
    <n v="5"/>
    <n v="199.99"/>
    <s v="Cash"/>
    <x v="2"/>
    <s v="Premium"/>
    <d v="2023-03-06T00:00:00"/>
    <n v="999.95"/>
    <d v="2026-10-21T23:09:13"/>
    <d v="2026-10-21T00:00:00"/>
    <s v="April"/>
    <n v="17"/>
  </r>
  <r>
    <s v="TRX0140"/>
    <x v="60"/>
    <s v="CUST025"/>
    <s v="Mark Carter"/>
    <s v="P010"/>
    <x v="8"/>
    <x v="0"/>
    <n v="2"/>
    <n v="89.99"/>
    <s v="Cash"/>
    <x v="4"/>
    <s v="Premium"/>
    <d v="2023-02-15T00:00:00"/>
    <n v="179.98"/>
    <d v="2026-10-21T23:09:13"/>
    <d v="2026-10-21T00:00:00"/>
    <s v="March"/>
    <n v="18"/>
  </r>
  <r>
    <s v="TRX0132"/>
    <x v="61"/>
    <s v="CUST047"/>
    <s v="Gerald Murphy"/>
    <s v="P001"/>
    <x v="4"/>
    <x v="0"/>
    <n v="5"/>
    <n v="899.99"/>
    <s v="Debit Card"/>
    <x v="4"/>
    <s v="Basic"/>
    <d v="2021-11-26T00:00:00"/>
    <n v="4499.95"/>
    <d v="2026-10-21T23:09:13"/>
    <d v="2026-10-21T00:00:00"/>
    <s v="December"/>
    <n v="32"/>
  </r>
  <r>
    <s v="TRX0031"/>
    <x v="61"/>
    <s v="CUST036"/>
    <s v="Nancy Collins"/>
    <s v="P003"/>
    <x v="3"/>
    <x v="0"/>
    <n v="3"/>
    <n v="149.99"/>
    <s v="PayPal"/>
    <x v="4"/>
    <s v="Basic"/>
    <d v="2022-01-13T00:00:00"/>
    <n v="449.97"/>
    <d v="2026-10-21T23:09:13"/>
    <d v="2026-10-21T00:00:00"/>
    <s v="February"/>
    <n v="31"/>
  </r>
  <r>
    <s v="TRX0236"/>
    <x v="62"/>
    <s v="CUST044"/>
    <s v="Cynthia Price"/>
    <s v="P008"/>
    <x v="2"/>
    <x v="2"/>
    <n v="5"/>
    <n v="149.99"/>
    <s v="Credit Card"/>
    <x v="0"/>
    <s v="Basic"/>
    <d v="2024-01-19T00:00:00"/>
    <n v="749.95"/>
    <d v="2026-10-21T23:09:13"/>
    <d v="2026-10-21T00:00:00"/>
    <s v="February"/>
    <n v="7"/>
  </r>
  <r>
    <s v="TRX0001"/>
    <x v="63"/>
    <s v="CUST039"/>
    <s v="Lawrence Reed"/>
    <s v="P004"/>
    <x v="7"/>
    <x v="1"/>
    <n v="3"/>
    <n v="79.989999999999995"/>
    <s v="Cash"/>
    <x v="0"/>
    <s v="Premium"/>
    <d v="2022-08-06T00:00:00"/>
    <n v="239.97"/>
    <d v="2026-10-21T23:09:13"/>
    <d v="2026-10-21T00:00:00"/>
    <s v="September"/>
    <n v="24"/>
  </r>
  <r>
    <s v="TRX0037"/>
    <x v="63"/>
    <s v="CUST035"/>
    <s v="Harry Morgan"/>
    <s v="P009"/>
    <x v="0"/>
    <x v="0"/>
    <n v="2"/>
    <n v="249.99"/>
    <s v="Cash"/>
    <x v="1"/>
    <s v="Standard"/>
    <d v="2022-01-11T00:00:00"/>
    <n v="499.98"/>
    <d v="2026-10-21T23:09:13"/>
    <d v="2026-10-21T00:00:00"/>
    <s v="February"/>
    <n v="31"/>
  </r>
  <r>
    <s v="TRX0058"/>
    <x v="64"/>
    <s v="CUST047"/>
    <s v="Gerald Murphy"/>
    <s v="P002"/>
    <x v="5"/>
    <x v="0"/>
    <n v="1"/>
    <n v="699.99"/>
    <s v="Cash"/>
    <x v="0"/>
    <s v="Premium"/>
    <d v="2021-10-28T00:00:00"/>
    <n v="699.99"/>
    <d v="2026-10-21T23:09:13"/>
    <d v="2026-10-21T00:00:00"/>
    <s v="November"/>
    <n v="34"/>
  </r>
  <r>
    <s v="TRX0170"/>
    <x v="64"/>
    <s v="CUST034"/>
    <s v="Carol Evans"/>
    <s v="P003"/>
    <x v="3"/>
    <x v="0"/>
    <n v="3"/>
    <n v="149.99"/>
    <s v="Cash"/>
    <x v="3"/>
    <s v="Premium"/>
    <d v="2023-10-13T00:00:00"/>
    <n v="449.97"/>
    <d v="2026-10-21T23:09:13"/>
    <d v="2026-10-21T00:00:00"/>
    <s v="November"/>
    <n v="10"/>
  </r>
  <r>
    <s v="TRX0248"/>
    <x v="65"/>
    <s v="CUST032"/>
    <s v="Sandra Phillips"/>
    <s v="P002"/>
    <x v="5"/>
    <x v="0"/>
    <n v="2"/>
    <n v="699.99"/>
    <s v="Credit Card"/>
    <x v="2"/>
    <s v="Premium"/>
    <d v="2021-08-13T00:00:00"/>
    <n v="1399.98"/>
    <d v="2026-10-21T23:09:13"/>
    <d v="2026-10-21T00:00:00"/>
    <s v="September"/>
    <n v="36"/>
  </r>
  <r>
    <s v="TRX0099"/>
    <x v="66"/>
    <s v="CUST034"/>
    <s v="Carol Evans"/>
    <s v="P009"/>
    <x v="0"/>
    <x v="0"/>
    <n v="1"/>
    <n v="249.99"/>
    <s v="Credit Card"/>
    <x v="3"/>
    <s v="Premium"/>
    <d v="2022-05-04T00:00:00"/>
    <n v="249.99"/>
    <d v="2026-10-21T23:09:13"/>
    <d v="2026-10-21T00:00:00"/>
    <s v="June"/>
    <n v="27"/>
  </r>
  <r>
    <s v="TRX0074"/>
    <x v="66"/>
    <s v="CUST023"/>
    <s v="Paul Baker"/>
    <s v="P009"/>
    <x v="0"/>
    <x v="0"/>
    <n v="1"/>
    <n v="249.99"/>
    <s v="Debit Card"/>
    <x v="2"/>
    <s v="Premium"/>
    <d v="2024-02-10T00:00:00"/>
    <n v="249.99"/>
    <d v="2026-10-21T23:09:13"/>
    <d v="2026-10-21T00:00:00"/>
    <s v="March"/>
    <n v="6"/>
  </r>
  <r>
    <s v="TRX0225"/>
    <x v="67"/>
    <s v="CUST039"/>
    <s v="Lawrence Reed"/>
    <s v="P002"/>
    <x v="5"/>
    <x v="0"/>
    <n v="2"/>
    <n v="699.99"/>
    <s v="Debit Card"/>
    <x v="0"/>
    <s v="Premium"/>
    <d v="2022-11-05T00:00:00"/>
    <n v="1399.98"/>
    <d v="2026-10-21T23:09:13"/>
    <d v="2026-10-21T00:00:00"/>
    <s v="December"/>
    <n v="21"/>
  </r>
  <r>
    <s v="TRX0100"/>
    <x v="68"/>
    <s v="CUST031"/>
    <s v="Steven Turner"/>
    <s v="P005"/>
    <x v="1"/>
    <x v="1"/>
    <n v="3"/>
    <n v="59.99"/>
    <s v="Credit Card"/>
    <x v="0"/>
    <s v="Premium"/>
    <d v="2022-06-05T00:00:00"/>
    <n v="179.97"/>
    <d v="2026-10-21T23:09:13"/>
    <d v="2026-10-21T00:00:00"/>
    <s v="July"/>
    <n v="27"/>
  </r>
  <r>
    <s v="TRX0142"/>
    <x v="69"/>
    <s v="CUST002"/>
    <s v="Emma Wilson"/>
    <s v="P005"/>
    <x v="1"/>
    <x v="1"/>
    <n v="3"/>
    <n v="59.99"/>
    <s v="PayPal"/>
    <x v="4"/>
    <s v="Standard"/>
    <d v="2022-07-06T00:00:00"/>
    <n v="179.97"/>
    <d v="2026-10-21T23:09:13"/>
    <d v="2026-10-21T00:00:00"/>
    <s v="August"/>
    <n v="26"/>
  </r>
  <r>
    <s v="TRX0112"/>
    <x v="69"/>
    <s v="CUST008"/>
    <s v="Jennifer Taylor"/>
    <s v="P004"/>
    <x v="7"/>
    <x v="1"/>
    <n v="4"/>
    <n v="79.989999999999995"/>
    <s v="Cash"/>
    <x v="2"/>
    <s v="Basic"/>
    <d v="2021-11-30T00:00:00"/>
    <n v="319.95999999999998"/>
    <d v="2026-10-21T23:09:13"/>
    <d v="2026-10-21T00:00:00"/>
    <s v="December"/>
    <n v="33"/>
  </r>
  <r>
    <s v="TRX0161"/>
    <x v="70"/>
    <s v="CUST017"/>
    <s v="Charles Allen"/>
    <s v="P004"/>
    <x v="7"/>
    <x v="1"/>
    <n v="1"/>
    <n v="79.989999999999995"/>
    <s v="Cash"/>
    <x v="3"/>
    <s v="Basic"/>
    <d v="2022-05-12T00:00:00"/>
    <n v="79.989999999999995"/>
    <d v="2026-10-21T23:09:13"/>
    <d v="2026-10-21T00:00:00"/>
    <s v="June"/>
    <n v="27"/>
  </r>
  <r>
    <s v="TRX0108"/>
    <x v="71"/>
    <s v="CUST024"/>
    <s v="Dorothy Nelson"/>
    <s v="P007"/>
    <x v="6"/>
    <x v="2"/>
    <n v="3"/>
    <n v="299.99"/>
    <s v="Credit Card"/>
    <x v="0"/>
    <s v="Premium"/>
    <d v="2021-10-25T00:00:00"/>
    <n v="899.97"/>
    <d v="2026-10-21T23:09:13"/>
    <d v="2026-10-21T00:00:00"/>
    <s v="November"/>
    <n v="34"/>
  </r>
  <r>
    <s v="TRX0211"/>
    <x v="72"/>
    <s v="CUST046"/>
    <s v="Kathleen Bennett"/>
    <s v="P010"/>
    <x v="8"/>
    <x v="0"/>
    <n v="2"/>
    <n v="89.99"/>
    <s v="Credit Card"/>
    <x v="1"/>
    <s v="Premium"/>
    <d v="2022-03-21T00:00:00"/>
    <n v="179.98"/>
    <d v="2026-10-21T23:09:13"/>
    <d v="2026-10-21T00:00:00"/>
    <s v="April"/>
    <n v="29"/>
  </r>
  <r>
    <s v="TRX0005"/>
    <x v="73"/>
    <s v="CUST042"/>
    <s v="Ruth Brooks"/>
    <s v="P003"/>
    <x v="3"/>
    <x v="0"/>
    <n v="4"/>
    <n v="149.99"/>
    <s v="Cash"/>
    <x v="2"/>
    <s v="Basic"/>
    <d v="2022-12-14T00:00:00"/>
    <n v="599.96"/>
    <d v="2026-10-21T23:09:13"/>
    <d v="2026-10-21T00:00:00"/>
    <s v="January"/>
    <n v="21"/>
  </r>
  <r>
    <s v="TRX0195"/>
    <x v="74"/>
    <s v="CUST026"/>
    <s v="Karen Hill"/>
    <s v="P009"/>
    <x v="0"/>
    <x v="0"/>
    <n v="2"/>
    <n v="249.99"/>
    <s v="PayPal"/>
    <x v="1"/>
    <s v="Basic"/>
    <d v="2023-03-08T00:00:00"/>
    <n v="499.98"/>
    <d v="2026-10-21T23:09:13"/>
    <d v="2026-10-21T00:00:00"/>
    <s v="April"/>
    <n v="18"/>
  </r>
  <r>
    <s v="TRX0054"/>
    <x v="74"/>
    <s v="CUST004"/>
    <s v="Sarah Davis"/>
    <s v="P006"/>
    <x v="9"/>
    <x v="2"/>
    <n v="4"/>
    <n v="199.99"/>
    <s v="Debit Card"/>
    <x v="4"/>
    <s v="Basic"/>
    <d v="2021-09-19T00:00:00"/>
    <n v="799.96"/>
    <d v="2026-10-21T23:09:13"/>
    <d v="2026-10-21T00:00:00"/>
    <s v="October"/>
    <n v="35"/>
  </r>
  <r>
    <s v="TRX0077"/>
    <x v="75"/>
    <s v="CUST019"/>
    <s v="Daniel King"/>
    <s v="P010"/>
    <x v="8"/>
    <x v="0"/>
    <n v="5"/>
    <n v="89.99"/>
    <s v="Credit Card"/>
    <x v="4"/>
    <s v="Premium"/>
    <d v="2021-09-07T00:00:00"/>
    <n v="449.95"/>
    <d v="2026-10-21T23:09:13"/>
    <d v="2026-10-21T00:00:00"/>
    <s v="October"/>
    <n v="36"/>
  </r>
  <r>
    <s v="TRX0111"/>
    <x v="75"/>
    <s v="CUST011"/>
    <s v="William White"/>
    <s v="P003"/>
    <x v="3"/>
    <x v="0"/>
    <n v="1"/>
    <n v="149.99"/>
    <s v="PayPal"/>
    <x v="4"/>
    <s v="Standard"/>
    <d v="2021-10-13T00:00:00"/>
    <n v="149.99"/>
    <d v="2026-10-21T23:09:13"/>
    <d v="2026-10-21T00:00:00"/>
    <s v="November"/>
    <n v="35"/>
  </r>
  <r>
    <s v="TRX0123"/>
    <x v="75"/>
    <s v="CUST041"/>
    <s v="Peter Richardson"/>
    <s v="P002"/>
    <x v="5"/>
    <x v="0"/>
    <n v="4"/>
    <n v="699.99"/>
    <s v="PayPal"/>
    <x v="1"/>
    <s v="Basic"/>
    <d v="2022-02-26T00:00:00"/>
    <n v="2799.96"/>
    <d v="2026-10-21T23:09:13"/>
    <d v="2026-10-21T00:00:00"/>
    <s v="March"/>
    <n v="30"/>
  </r>
  <r>
    <s v="TRX0177"/>
    <x v="76"/>
    <s v="CUST032"/>
    <s v="Sandra Phillips"/>
    <s v="P001"/>
    <x v="4"/>
    <x v="0"/>
    <n v="3"/>
    <n v="899.99"/>
    <s v="Credit Card"/>
    <x v="2"/>
    <s v="Standard"/>
    <d v="2023-08-19T00:00:00"/>
    <n v="2699.97"/>
    <d v="2026-10-21T23:09:13"/>
    <d v="2026-10-21T00:00:00"/>
    <s v="September"/>
    <n v="13"/>
  </r>
  <r>
    <s v="TRX0119"/>
    <x v="77"/>
    <s v="CUST014"/>
    <s v="Linda Martin"/>
    <s v="P008"/>
    <x v="2"/>
    <x v="2"/>
    <n v="3"/>
    <n v="149.99"/>
    <s v="PayPal"/>
    <x v="4"/>
    <s v="Basic"/>
    <d v="2022-11-21T00:00:00"/>
    <n v="449.97"/>
    <d v="2026-10-21T23:09:13"/>
    <d v="2026-10-21T00:00:00"/>
    <s v="December"/>
    <n v="22"/>
  </r>
  <r>
    <s v="TRX0181"/>
    <x v="78"/>
    <s v="CUST012"/>
    <s v="Patricia Moore"/>
    <s v="P007"/>
    <x v="6"/>
    <x v="2"/>
    <n v="2"/>
    <n v="299.99"/>
    <s v="Debit Card"/>
    <x v="0"/>
    <s v="Basic"/>
    <d v="2022-01-08T00:00:00"/>
    <n v="599.98"/>
    <d v="2026-10-21T23:09:13"/>
    <d v="2026-10-21T00:00:00"/>
    <s v="February"/>
    <n v="32"/>
  </r>
  <r>
    <s v="TRX0129"/>
    <x v="79"/>
    <s v="CUST015"/>
    <s v="Richard Lee"/>
    <s v="P006"/>
    <x v="9"/>
    <x v="2"/>
    <n v="1"/>
    <n v="199.99"/>
    <s v="Debit Card"/>
    <x v="4"/>
    <s v="Standard"/>
    <d v="2023-01-27T00:00:00"/>
    <n v="199.99"/>
    <d v="2026-10-21T23:09:13"/>
    <d v="2026-10-21T00:00:00"/>
    <s v="February"/>
    <n v="20"/>
  </r>
  <r>
    <s v="TRX0174"/>
    <x v="80"/>
    <s v="CUST003"/>
    <s v="Michael Brown"/>
    <s v="P007"/>
    <x v="6"/>
    <x v="2"/>
    <n v="4"/>
    <n v="299.99"/>
    <s v="Cash"/>
    <x v="0"/>
    <s v="Premium"/>
    <d v="2021-09-21T00:00:00"/>
    <n v="1199.96"/>
    <d v="2026-10-21T23:09:13"/>
    <d v="2026-10-21T00:00:00"/>
    <s v="October"/>
    <n v="36"/>
  </r>
  <r>
    <s v="TRX0146"/>
    <x v="81"/>
    <s v="CUST010"/>
    <s v="Maria Garcia"/>
    <s v="P005"/>
    <x v="1"/>
    <x v="1"/>
    <n v="2"/>
    <n v="59.99"/>
    <s v="Credit Card"/>
    <x v="0"/>
    <s v="Basic"/>
    <d v="2022-01-18T00:00:00"/>
    <n v="119.98"/>
    <d v="2026-10-21T23:09:13"/>
    <d v="2026-10-21T00:00:00"/>
    <s v="February"/>
    <n v="32"/>
  </r>
  <r>
    <s v="TRX0203"/>
    <x v="81"/>
    <s v="CUST032"/>
    <s v="Sandra Phillips"/>
    <s v="P003"/>
    <x v="3"/>
    <x v="0"/>
    <n v="4"/>
    <n v="149.99"/>
    <s v="Credit Card"/>
    <x v="2"/>
    <s v="Premium"/>
    <d v="2023-05-30T00:00:00"/>
    <n v="599.96"/>
    <d v="2026-10-21T23:09:13"/>
    <d v="2026-10-21T00:00:00"/>
    <s v="June"/>
    <n v="16"/>
  </r>
  <r>
    <s v="TRX0055"/>
    <x v="82"/>
    <s v="CUST016"/>
    <s v="Elizabeth Hall"/>
    <s v="P002"/>
    <x v="5"/>
    <x v="0"/>
    <n v="2"/>
    <n v="699.99"/>
    <s v="Debit Card"/>
    <x v="4"/>
    <s v="Premium"/>
    <d v="2023-12-14T00:00:00"/>
    <n v="1399.98"/>
    <d v="2026-10-21T23:09:13"/>
    <d v="2026-10-21T00:00:00"/>
    <s v="January"/>
    <n v="9"/>
  </r>
  <r>
    <s v="TRX0218"/>
    <x v="82"/>
    <s v="CUST034"/>
    <s v="Carol Evans"/>
    <s v="P008"/>
    <x v="2"/>
    <x v="2"/>
    <n v="3"/>
    <n v="149.99"/>
    <s v="Credit Card"/>
    <x v="1"/>
    <s v="Standard"/>
    <d v="2023-01-14T00:00:00"/>
    <n v="449.97"/>
    <d v="2026-10-21T23:09:13"/>
    <d v="2026-10-21T00:00:00"/>
    <s v="February"/>
    <n v="20"/>
  </r>
  <r>
    <s v="TRX0085"/>
    <x v="83"/>
    <s v="CUST019"/>
    <s v="Daniel King"/>
    <s v="P007"/>
    <x v="6"/>
    <x v="2"/>
    <n v="3"/>
    <n v="299.99"/>
    <s v="Credit Card"/>
    <x v="0"/>
    <s v="Standard"/>
    <d v="2023-09-05T00:00:00"/>
    <n v="899.97"/>
    <d v="2026-10-21T23:09:13"/>
    <d v="2026-10-21T00:00:00"/>
    <s v="October"/>
    <n v="13"/>
  </r>
  <r>
    <s v="TRX0158"/>
    <x v="84"/>
    <s v="CUST027"/>
    <s v="George Adams"/>
    <s v="P001"/>
    <x v="4"/>
    <x v="0"/>
    <n v="3"/>
    <n v="899.99"/>
    <s v="PayPal"/>
    <x v="3"/>
    <s v="Basic"/>
    <d v="2023-10-16T00:00:00"/>
    <n v="2699.97"/>
    <d v="2026-10-21T23:09:13"/>
    <d v="2026-10-21T00:00:00"/>
    <s v="November"/>
    <n v="11"/>
  </r>
  <r>
    <s v="TRX0173"/>
    <x v="85"/>
    <s v="CUST018"/>
    <s v="Barbara Young"/>
    <s v="P002"/>
    <x v="5"/>
    <x v="0"/>
    <n v="5"/>
    <n v="699.99"/>
    <s v="Cash"/>
    <x v="4"/>
    <s v="Standard"/>
    <d v="2023-03-23T00:00:00"/>
    <n v="3499.95"/>
    <d v="2026-10-21T23:09:13"/>
    <d v="2026-10-21T00:00:00"/>
    <s v="April"/>
    <n v="18"/>
  </r>
  <r>
    <s v="TRX0034"/>
    <x v="85"/>
    <s v="CUST049"/>
    <s v="Raymond Ross"/>
    <s v="P002"/>
    <x v="5"/>
    <x v="0"/>
    <n v="4"/>
    <n v="699.99"/>
    <s v="Credit Card"/>
    <x v="0"/>
    <s v="Basic"/>
    <d v="2024-04-03T00:00:00"/>
    <n v="2799.96"/>
    <d v="2026-10-21T23:09:13"/>
    <d v="2026-10-21T00:00:00"/>
    <s v="May"/>
    <n v="6"/>
  </r>
  <r>
    <s v="TRX0189"/>
    <x v="85"/>
    <s v="CUST040"/>
    <s v="Sharon Butler"/>
    <s v="P001"/>
    <x v="4"/>
    <x v="0"/>
    <n v="1"/>
    <n v="899.99"/>
    <s v="Credit Card"/>
    <x v="4"/>
    <s v="Standard"/>
    <d v="2024-03-18T00:00:00"/>
    <n v="899.99"/>
    <d v="2026-10-21T23:09:13"/>
    <d v="2026-10-21T00:00:00"/>
    <s v="April"/>
    <n v="6"/>
  </r>
  <r>
    <s v="TRX0190"/>
    <x v="86"/>
    <s v="CUST039"/>
    <s v="Lawrence Reed"/>
    <s v="P003"/>
    <x v="3"/>
    <x v="0"/>
    <n v="2"/>
    <n v="149.99"/>
    <s v="Credit Card"/>
    <x v="3"/>
    <s v="Basic"/>
    <d v="2022-12-21T00:00:00"/>
    <n v="299.98"/>
    <d v="2026-10-21T23:09:13"/>
    <d v="2026-10-21T00:00:00"/>
    <s v="January"/>
    <n v="21"/>
  </r>
  <r>
    <s v="TRX0079"/>
    <x v="87"/>
    <s v="CUST039"/>
    <s v="Lawrence Reed"/>
    <s v="P010"/>
    <x v="8"/>
    <x v="0"/>
    <n v="3"/>
    <n v="89.99"/>
    <s v="PayPal"/>
    <x v="0"/>
    <s v="Basic"/>
    <d v="2021-12-21T00:00:00"/>
    <n v="269.97000000000003"/>
    <d v="2026-10-21T23:09:13"/>
    <d v="2026-10-21T00:00:00"/>
    <s v="January"/>
    <n v="34"/>
  </r>
  <r>
    <s v="TRX0095"/>
    <x v="88"/>
    <s v="CUST046"/>
    <s v="Kathleen Bennett"/>
    <s v="P003"/>
    <x v="3"/>
    <x v="0"/>
    <n v="2"/>
    <n v="149.99"/>
    <s v="PayPal"/>
    <x v="0"/>
    <s v="Basic"/>
    <d v="2021-10-04T00:00:00"/>
    <n v="299.98"/>
    <d v="2026-10-21T23:09:13"/>
    <d v="2026-10-21T00:00:00"/>
    <s v="November"/>
    <n v="36"/>
  </r>
  <r>
    <s v="TRX0009"/>
    <x v="88"/>
    <s v="CUST004"/>
    <s v="Sarah Davis"/>
    <s v="P002"/>
    <x v="5"/>
    <x v="0"/>
    <n v="2"/>
    <n v="699.99"/>
    <s v="Cash"/>
    <x v="0"/>
    <s v="Basic"/>
    <d v="2023-03-07T00:00:00"/>
    <n v="1399.98"/>
    <d v="2026-10-21T23:09:13"/>
    <d v="2026-10-21T00:00:00"/>
    <s v="April"/>
    <n v="19"/>
  </r>
  <r>
    <s v="TRX0167"/>
    <x v="89"/>
    <s v="CUST028"/>
    <s v="Betty Campbell"/>
    <s v="P002"/>
    <x v="5"/>
    <x v="0"/>
    <n v="5"/>
    <n v="699.99"/>
    <s v="Cash"/>
    <x v="2"/>
    <s v="Premium"/>
    <d v="2022-03-15T00:00:00"/>
    <n v="3499.95"/>
    <d v="2026-10-21T23:09:13"/>
    <d v="2026-10-21T00:00:00"/>
    <s v="April"/>
    <n v="31"/>
  </r>
  <r>
    <s v="TRX0153"/>
    <x v="90"/>
    <s v="CUST049"/>
    <s v="Raymond Ross"/>
    <s v="P010"/>
    <x v="8"/>
    <x v="0"/>
    <n v="3"/>
    <n v="89.99"/>
    <s v="Credit Card"/>
    <x v="2"/>
    <s v="Standard"/>
    <d v="2022-02-23T00:00:00"/>
    <n v="269.97000000000003"/>
    <d v="2026-10-21T23:09:13"/>
    <d v="2026-10-21T00:00:00"/>
    <s v="March"/>
    <n v="32"/>
  </r>
  <r>
    <s v="TRX0057"/>
    <x v="91"/>
    <s v="CUST023"/>
    <s v="Paul Baker"/>
    <s v="P009"/>
    <x v="0"/>
    <x v="0"/>
    <n v="5"/>
    <n v="249.99"/>
    <s v="Credit Card"/>
    <x v="1"/>
    <s v="Standard"/>
    <d v="2022-11-16T00:00:00"/>
    <n v="1249.95"/>
    <d v="2026-10-21T23:09:13"/>
    <d v="2026-10-21T00:00:00"/>
    <s v="December"/>
    <n v="23"/>
  </r>
  <r>
    <s v="TRX0017"/>
    <x v="92"/>
    <s v="CUST026"/>
    <s v="Karen Hill"/>
    <s v="P007"/>
    <x v="6"/>
    <x v="2"/>
    <n v="3"/>
    <n v="299.99"/>
    <s v="Credit Card"/>
    <x v="1"/>
    <s v="Standard"/>
    <d v="2021-11-02T00:00:00"/>
    <n v="899.97"/>
    <d v="2026-10-21T23:09:13"/>
    <d v="2026-10-21T00:00:00"/>
    <s v="December"/>
    <n v="36"/>
  </r>
  <r>
    <s v="TRX0060"/>
    <x v="93"/>
    <s v="CUST012"/>
    <s v="Patricia Moore"/>
    <s v="P010"/>
    <x v="8"/>
    <x v="0"/>
    <n v="3"/>
    <n v="89.99"/>
    <s v="Credit Card"/>
    <x v="2"/>
    <s v="Premium"/>
    <d v="2021-08-12T00:00:00"/>
    <n v="269.97000000000003"/>
    <d v="2026-10-21T23:09:13"/>
    <d v="2026-10-21T00:00:00"/>
    <s v="September"/>
    <n v="38"/>
  </r>
  <r>
    <s v="TRX0109"/>
    <x v="94"/>
    <s v="CUST010"/>
    <s v="Maria Garcia"/>
    <s v="P008"/>
    <x v="2"/>
    <x v="2"/>
    <n v="2"/>
    <n v="149.99"/>
    <s v="Credit Card"/>
    <x v="3"/>
    <s v="Premium"/>
    <d v="2022-10-14T00:00:00"/>
    <n v="299.98"/>
    <d v="2026-10-21T23:09:13"/>
    <d v="2026-10-21T00:00:00"/>
    <s v="November"/>
    <n v="24"/>
  </r>
  <r>
    <s v="TRX0090"/>
    <x v="95"/>
    <s v="CUST020"/>
    <s v="Margaret Wright"/>
    <s v="P009"/>
    <x v="0"/>
    <x v="0"/>
    <n v="1"/>
    <n v="249.99"/>
    <s v="Credit Card"/>
    <x v="2"/>
    <s v="Premium"/>
    <d v="2022-09-24T00:00:00"/>
    <n v="249.99"/>
    <d v="2026-10-21T23:09:13"/>
    <d v="2026-10-21T00:00:00"/>
    <s v="October"/>
    <n v="25"/>
  </r>
  <r>
    <s v="TRX0035"/>
    <x v="96"/>
    <s v="CUST041"/>
    <s v="Peter Richardson"/>
    <s v="P003"/>
    <x v="3"/>
    <x v="0"/>
    <n v="3"/>
    <n v="149.99"/>
    <s v="Cash"/>
    <x v="2"/>
    <s v="Basic"/>
    <d v="2022-07-27T00:00:00"/>
    <n v="449.97"/>
    <d v="2026-10-21T23:09:13"/>
    <d v="2026-10-21T00:00:00"/>
    <s v="August"/>
    <n v="27"/>
  </r>
  <r>
    <s v="TRX0172"/>
    <x v="96"/>
    <s v="CUST023"/>
    <s v="Paul Baker"/>
    <s v="P005"/>
    <x v="1"/>
    <x v="1"/>
    <n v="5"/>
    <n v="59.99"/>
    <s v="PayPal"/>
    <x v="3"/>
    <s v="Premium"/>
    <d v="2022-05-13T00:00:00"/>
    <n v="299.95"/>
    <d v="2026-10-21T23:09:13"/>
    <d v="2026-10-21T00:00:00"/>
    <s v="June"/>
    <n v="29"/>
  </r>
  <r>
    <s v="TRX0076"/>
    <x v="96"/>
    <s v="CUST012"/>
    <s v="Patricia Moore"/>
    <s v="P009"/>
    <x v="0"/>
    <x v="0"/>
    <n v="4"/>
    <n v="249.99"/>
    <s v="Credit Card"/>
    <x v="3"/>
    <s v="Standard"/>
    <d v="2022-04-08T00:00:00"/>
    <n v="999.96"/>
    <d v="2026-10-21T23:09:13"/>
    <d v="2026-10-21T00:00:00"/>
    <s v="May"/>
    <n v="31"/>
  </r>
  <r>
    <s v="TRX0210"/>
    <x v="97"/>
    <s v="CUST004"/>
    <s v="Sarah Davis"/>
    <s v="P008"/>
    <x v="2"/>
    <x v="2"/>
    <n v="5"/>
    <n v="149.99"/>
    <s v="PayPal"/>
    <x v="0"/>
    <s v="Basic"/>
    <d v="2022-12-06T00:00:00"/>
    <n v="749.95"/>
    <d v="2026-10-21T23:09:13"/>
    <d v="2026-10-21T00:00:00"/>
    <s v="January"/>
    <n v="23"/>
  </r>
  <r>
    <s v="TRX0149"/>
    <x v="97"/>
    <s v="CUST027"/>
    <s v="George Adams"/>
    <s v="P005"/>
    <x v="1"/>
    <x v="1"/>
    <n v="3"/>
    <n v="59.99"/>
    <s v="Debit Card"/>
    <x v="1"/>
    <s v="Standard"/>
    <d v="2023-11-30T00:00:00"/>
    <n v="179.97"/>
    <d v="2026-10-21T23:09:13"/>
    <d v="2026-10-21T00:00:00"/>
    <s v="December"/>
    <n v="11"/>
  </r>
  <r>
    <s v="TRX0073"/>
    <x v="98"/>
    <s v="CUST032"/>
    <s v="Sandra Phillips"/>
    <s v="P008"/>
    <x v="2"/>
    <x v="2"/>
    <n v="5"/>
    <n v="149.99"/>
    <s v="Cash"/>
    <x v="2"/>
    <s v="Basic"/>
    <d v="2022-11-04T00:00:00"/>
    <n v="749.95"/>
    <d v="2026-10-21T23:09:13"/>
    <d v="2026-10-21T00:00:00"/>
    <s v="December"/>
    <n v="24"/>
  </r>
  <r>
    <s v="TRX0033"/>
    <x v="98"/>
    <s v="CUST025"/>
    <s v="Mark Carter"/>
    <s v="P002"/>
    <x v="5"/>
    <x v="0"/>
    <n v="2"/>
    <n v="699.99"/>
    <s v="PayPal"/>
    <x v="3"/>
    <s v="Standard"/>
    <d v="2022-07-28T00:00:00"/>
    <n v="1399.98"/>
    <d v="2026-10-21T23:09:13"/>
    <d v="2026-10-21T00:00:00"/>
    <s v="August"/>
    <n v="27"/>
  </r>
  <r>
    <s v="TRX0160"/>
    <x v="99"/>
    <s v="CUST029"/>
    <s v="Edward Mitchell"/>
    <s v="P006"/>
    <x v="9"/>
    <x v="2"/>
    <n v="4"/>
    <n v="199.99"/>
    <s v="Debit Card"/>
    <x v="0"/>
    <s v="Premium"/>
    <d v="2021-08-19T00:00:00"/>
    <n v="799.96"/>
    <d v="2026-10-21T23:09:13"/>
    <d v="2026-10-21T00:00:00"/>
    <s v="September"/>
    <n v="39"/>
  </r>
  <r>
    <s v="TRX0145"/>
    <x v="100"/>
    <s v="CUST033"/>
    <s v="Frank Torres"/>
    <s v="P005"/>
    <x v="1"/>
    <x v="1"/>
    <n v="1"/>
    <n v="59.99"/>
    <s v="Debit Card"/>
    <x v="3"/>
    <s v="Standard"/>
    <d v="2021-12-30T00:00:00"/>
    <n v="59.99"/>
    <d v="2026-10-21T23:09:13"/>
    <d v="2026-10-21T00:00:00"/>
    <s v="January"/>
    <n v="34"/>
  </r>
  <r>
    <s v="TRX0148"/>
    <x v="100"/>
    <s v="CUST004"/>
    <s v="Sarah Davis"/>
    <s v="P002"/>
    <x v="5"/>
    <x v="0"/>
    <n v="3"/>
    <n v="699.99"/>
    <s v="PayPal"/>
    <x v="3"/>
    <s v="Standard"/>
    <d v="2022-01-22T00:00:00"/>
    <n v="2099.9699999999998"/>
    <d v="2026-10-21T23:09:13"/>
    <d v="2026-10-21T00:00:00"/>
    <s v="February"/>
    <n v="34"/>
  </r>
  <r>
    <s v="TRX0012"/>
    <x v="101"/>
    <s v="CUST045"/>
    <s v="Douglas Watson"/>
    <s v="P009"/>
    <x v="0"/>
    <x v="0"/>
    <n v="5"/>
    <n v="249.99"/>
    <s v="Credit Card"/>
    <x v="2"/>
    <s v="Basic"/>
    <d v="2022-11-08T00:00:00"/>
    <n v="1249.95"/>
    <d v="2026-10-21T23:09:13"/>
    <d v="2026-10-21T00:00:00"/>
    <s v="December"/>
    <n v="24"/>
  </r>
  <r>
    <s v="TRX0206"/>
    <x v="102"/>
    <s v="CUST014"/>
    <s v="Linda Martin"/>
    <s v="P008"/>
    <x v="2"/>
    <x v="2"/>
    <n v="2"/>
    <n v="149.99"/>
    <s v="Cash"/>
    <x v="1"/>
    <s v="Standard"/>
    <d v="2023-06-24T00:00:00"/>
    <n v="299.98"/>
    <d v="2026-10-21T23:09:13"/>
    <d v="2026-10-21T00:00:00"/>
    <s v="July"/>
    <n v="17"/>
  </r>
  <r>
    <s v="TRX0045"/>
    <x v="103"/>
    <s v="CUST021"/>
    <s v="Kevin Scott"/>
    <s v="P007"/>
    <x v="6"/>
    <x v="2"/>
    <n v="3"/>
    <n v="299.99"/>
    <s v="Cash"/>
    <x v="1"/>
    <s v="Premium"/>
    <d v="2022-04-08T00:00:00"/>
    <n v="899.97"/>
    <d v="2026-10-21T23:09:13"/>
    <d v="2026-10-21T00:00:00"/>
    <s v="May"/>
    <n v="31"/>
  </r>
  <r>
    <s v="TRX0094"/>
    <x v="103"/>
    <s v="CUST017"/>
    <s v="Charles Allen"/>
    <s v="P009"/>
    <x v="0"/>
    <x v="0"/>
    <n v="5"/>
    <n v="249.99"/>
    <s v="Cash"/>
    <x v="0"/>
    <s v="Premium"/>
    <d v="2021-10-16T00:00:00"/>
    <n v="1249.95"/>
    <d v="2026-10-21T23:09:13"/>
    <d v="2026-10-21T00:00:00"/>
    <s v="November"/>
    <n v="37"/>
  </r>
  <r>
    <s v="TRX0133"/>
    <x v="103"/>
    <s v="CUST013"/>
    <s v="Joseph Jackson"/>
    <s v="P003"/>
    <x v="3"/>
    <x v="0"/>
    <n v="2"/>
    <n v="149.99"/>
    <s v="Cash"/>
    <x v="1"/>
    <s v="Premium"/>
    <d v="2021-10-06T00:00:00"/>
    <n v="299.98"/>
    <d v="2026-10-21T23:09:13"/>
    <d v="2026-10-21T00:00:00"/>
    <s v="November"/>
    <n v="37"/>
  </r>
  <r>
    <s v="TRX0201"/>
    <x v="103"/>
    <s v="CUST025"/>
    <s v="Mark Carter"/>
    <s v="P002"/>
    <x v="5"/>
    <x v="0"/>
    <n v="5"/>
    <n v="699.99"/>
    <s v="Debit Card"/>
    <x v="3"/>
    <s v="Standard"/>
    <d v="2023-01-18T00:00:00"/>
    <n v="3499.95"/>
    <d v="2026-10-21T23:09:13"/>
    <d v="2026-10-21T00:00:00"/>
    <s v="February"/>
    <n v="22"/>
  </r>
  <r>
    <s v="TRX0137"/>
    <x v="104"/>
    <s v="CUST011"/>
    <s v="William White"/>
    <s v="P009"/>
    <x v="0"/>
    <x v="0"/>
    <n v="4"/>
    <n v="249.99"/>
    <s v="PayPal"/>
    <x v="4"/>
    <s v="Premium"/>
    <d v="2023-06-21T00:00:00"/>
    <n v="999.96"/>
    <d v="2026-10-21T23:09:13"/>
    <d v="2026-10-21T00:00:00"/>
    <s v="July"/>
    <n v="17"/>
  </r>
  <r>
    <s v="TRX0066"/>
    <x v="105"/>
    <s v="CUST024"/>
    <s v="Dorothy Nelson"/>
    <s v="P002"/>
    <x v="5"/>
    <x v="0"/>
    <n v="4"/>
    <n v="699.99"/>
    <s v="Credit Card"/>
    <x v="2"/>
    <s v="Premium"/>
    <d v="2022-05-22T00:00:00"/>
    <n v="2799.96"/>
    <d v="2026-10-21T23:09:13"/>
    <d v="2026-10-21T00:00:00"/>
    <s v="June"/>
    <n v="30"/>
  </r>
  <r>
    <s v="TRX0180"/>
    <x v="106"/>
    <s v="CUST036"/>
    <s v="Nancy Collins"/>
    <s v="P009"/>
    <x v="0"/>
    <x v="0"/>
    <n v="2"/>
    <n v="249.99"/>
    <s v="Credit Card"/>
    <x v="0"/>
    <s v="Premium"/>
    <d v="2021-07-19T00:00:00"/>
    <n v="499.98"/>
    <d v="2026-10-21T23:09:13"/>
    <d v="2026-10-21T00:00:00"/>
    <s v="August"/>
    <n v="40"/>
  </r>
  <r>
    <s v="TRX0082"/>
    <x v="106"/>
    <s v="CUST005"/>
    <s v="James Johnson"/>
    <s v="P005"/>
    <x v="1"/>
    <x v="1"/>
    <n v="3"/>
    <n v="59.99"/>
    <s v="Cash"/>
    <x v="0"/>
    <s v="Premium"/>
    <d v="2023-05-06T00:00:00"/>
    <n v="179.97"/>
    <d v="2026-10-21T23:09:13"/>
    <d v="2026-10-21T00:00:00"/>
    <s v="June"/>
    <n v="19"/>
  </r>
  <r>
    <s v="TRX0036"/>
    <x v="106"/>
    <s v="CUST008"/>
    <s v="Jennifer Taylor"/>
    <s v="P004"/>
    <x v="7"/>
    <x v="1"/>
    <n v="4"/>
    <n v="79.989999999999995"/>
    <s v="Debit Card"/>
    <x v="4"/>
    <s v="Standard"/>
    <d v="2022-12-26T00:00:00"/>
    <n v="319.95999999999998"/>
    <d v="2026-10-21T23:09:13"/>
    <d v="2026-10-21T00:00:00"/>
    <s v="January"/>
    <n v="23"/>
  </r>
  <r>
    <s v="TRX0198"/>
    <x v="107"/>
    <s v="CUST030"/>
    <s v="Helen Roberts"/>
    <s v="P004"/>
    <x v="7"/>
    <x v="1"/>
    <n v="3"/>
    <n v="79.989999999999995"/>
    <s v="Debit Card"/>
    <x v="4"/>
    <s v="Standard"/>
    <d v="2022-08-06T00:00:00"/>
    <n v="239.97"/>
    <d v="2026-10-21T23:09:13"/>
    <d v="2026-10-21T00:00:00"/>
    <s v="September"/>
    <n v="28"/>
  </r>
  <r>
    <s v="TRX0032"/>
    <x v="108"/>
    <s v="CUST041"/>
    <s v="Peter Richardson"/>
    <s v="P001"/>
    <x v="4"/>
    <x v="0"/>
    <n v="2"/>
    <n v="899.99"/>
    <s v="Cash"/>
    <x v="2"/>
    <s v="Basic"/>
    <d v="2021-07-29T00:00:00"/>
    <n v="1799.98"/>
    <d v="2026-10-21T23:09:13"/>
    <d v="2026-10-21T00:00:00"/>
    <s v="August"/>
    <n v="40"/>
  </r>
  <r>
    <s v="TRX0081"/>
    <x v="109"/>
    <s v="CUST007"/>
    <s v="David Martinez"/>
    <s v="P008"/>
    <x v="2"/>
    <x v="2"/>
    <n v="1"/>
    <n v="149.99"/>
    <s v="Debit Card"/>
    <x v="4"/>
    <s v="Standard"/>
    <d v="2023-10-01T00:00:00"/>
    <n v="149.99"/>
    <d v="2026-10-21T23:09:13"/>
    <d v="2026-10-21T00:00:00"/>
    <s v="November"/>
    <n v="14"/>
  </r>
  <r>
    <s v="TRX0224"/>
    <x v="109"/>
    <s v="CUST031"/>
    <s v="Steven Turner"/>
    <s v="P007"/>
    <x v="6"/>
    <x v="2"/>
    <n v="2"/>
    <n v="299.99"/>
    <s v="Cash"/>
    <x v="4"/>
    <s v="Premium"/>
    <d v="2022-06-12T00:00:00"/>
    <n v="599.98"/>
    <d v="2026-10-21T23:09:13"/>
    <d v="2026-10-21T00:00:00"/>
    <s v="July"/>
    <n v="30"/>
  </r>
  <r>
    <s v="TRX0028"/>
    <x v="110"/>
    <s v="CUST002"/>
    <s v="Emma Wilson"/>
    <s v="P005"/>
    <x v="1"/>
    <x v="1"/>
    <n v="2"/>
    <n v="59.99"/>
    <s v="Cash"/>
    <x v="3"/>
    <s v="Basic"/>
    <d v="2023-09-22T00:00:00"/>
    <n v="119.98"/>
    <d v="2026-10-21T23:09:13"/>
    <d v="2026-10-21T00:00:00"/>
    <s v="October"/>
    <n v="14"/>
  </r>
  <r>
    <s v="TRX0183"/>
    <x v="111"/>
    <s v="CUST007"/>
    <s v="David Martinez"/>
    <s v="P010"/>
    <x v="8"/>
    <x v="0"/>
    <n v="1"/>
    <n v="89.99"/>
    <s v="Debit Card"/>
    <x v="0"/>
    <s v="Standard"/>
    <d v="2022-07-18T00:00:00"/>
    <n v="89.99"/>
    <d v="2026-10-21T23:09:13"/>
    <d v="2026-10-21T00:00:00"/>
    <s v="August"/>
    <n v="29"/>
  </r>
  <r>
    <s v="TRX0163"/>
    <x v="111"/>
    <s v="CUST019"/>
    <s v="Daniel King"/>
    <s v="P001"/>
    <x v="4"/>
    <x v="0"/>
    <n v="5"/>
    <n v="899.99"/>
    <s v="Debit Card"/>
    <x v="4"/>
    <s v="Standard"/>
    <d v="2022-03-05T00:00:00"/>
    <n v="4499.95"/>
    <d v="2026-10-21T23:09:13"/>
    <d v="2026-10-21T00:00:00"/>
    <s v="April"/>
    <n v="33"/>
  </r>
  <r>
    <s v="TRX0046"/>
    <x v="112"/>
    <s v="CUST003"/>
    <s v="Michael Brown"/>
    <s v="P008"/>
    <x v="2"/>
    <x v="2"/>
    <n v="2"/>
    <n v="149.99"/>
    <s v="Cash"/>
    <x v="1"/>
    <s v="Basic"/>
    <d v="2023-11-09T00:00:00"/>
    <n v="299.98"/>
    <d v="2026-10-21T23:09:13"/>
    <d v="2026-10-21T00:00:00"/>
    <s v="December"/>
    <n v="13"/>
  </r>
  <r>
    <s v="TRX0164"/>
    <x v="113"/>
    <s v="CUST014"/>
    <s v="Linda Martin"/>
    <s v="P003"/>
    <x v="3"/>
    <x v="0"/>
    <n v="2"/>
    <n v="149.99"/>
    <s v="Debit Card"/>
    <x v="3"/>
    <s v="Premium"/>
    <d v="2023-12-20T00:00:00"/>
    <n v="299.98"/>
    <d v="2026-10-21T23:09:13"/>
    <d v="2026-10-21T00:00:00"/>
    <s v="January"/>
    <n v="12"/>
  </r>
  <r>
    <s v="TRX0008"/>
    <x v="113"/>
    <s v="CUST007"/>
    <s v="David Martinez"/>
    <s v="P008"/>
    <x v="2"/>
    <x v="2"/>
    <n v="3"/>
    <n v="149.99"/>
    <s v="Debit Card"/>
    <x v="2"/>
    <s v="Standard"/>
    <d v="2021-11-22T00:00:00"/>
    <n v="449.97"/>
    <d v="2026-10-21T23:09:13"/>
    <d v="2026-10-21T00:00:00"/>
    <s v="December"/>
    <n v="37"/>
  </r>
  <r>
    <s v="TRX0171"/>
    <x v="114"/>
    <s v="CUST021"/>
    <s v="Kevin Scott"/>
    <s v="P007"/>
    <x v="6"/>
    <x v="2"/>
    <n v="2"/>
    <n v="299.99"/>
    <s v="PayPal"/>
    <x v="1"/>
    <s v="Basic"/>
    <d v="2022-06-09T00:00:00"/>
    <n v="599.98"/>
    <d v="2026-10-21T23:09:13"/>
    <d v="2026-10-21T00:00:00"/>
    <s v="July"/>
    <n v="30"/>
  </r>
  <r>
    <s v="TRX0143"/>
    <x v="115"/>
    <s v="CUST003"/>
    <s v="Michael Brown"/>
    <s v="P007"/>
    <x v="6"/>
    <x v="2"/>
    <n v="2"/>
    <n v="299.99"/>
    <s v="Cash"/>
    <x v="3"/>
    <s v="Basic"/>
    <d v="2022-07-29T00:00:00"/>
    <n v="599.98"/>
    <d v="2026-10-21T23:09:13"/>
    <d v="2026-10-21T00:00:00"/>
    <s v="August"/>
    <n v="28"/>
  </r>
  <r>
    <s v="TRX0165"/>
    <x v="115"/>
    <s v="CUST030"/>
    <s v="Helen Roberts"/>
    <s v="P006"/>
    <x v="9"/>
    <x v="2"/>
    <n v="4"/>
    <n v="199.99"/>
    <s v="Credit Card"/>
    <x v="0"/>
    <s v="Basic"/>
    <d v="2021-11-23T00:00:00"/>
    <n v="799.96"/>
    <d v="2026-10-21T23:09:13"/>
    <d v="2026-10-21T00:00:00"/>
    <s v="December"/>
    <n v="37"/>
  </r>
  <r>
    <s v="TRX0156"/>
    <x v="116"/>
    <s v="CUST009"/>
    <s v="Robert Thomas"/>
    <s v="P010"/>
    <x v="8"/>
    <x v="0"/>
    <n v="1"/>
    <n v="89.99"/>
    <s v="Credit Card"/>
    <x v="1"/>
    <s v="Premium"/>
    <d v="2022-01-30T00:00:00"/>
    <n v="89.99"/>
    <d v="2026-10-21T23:09:13"/>
    <d v="2026-10-21T00:00:00"/>
    <s v="February"/>
    <n v="34"/>
  </r>
  <r>
    <s v="TRX0147"/>
    <x v="116"/>
    <s v="CUST036"/>
    <s v="Nancy Collins"/>
    <s v="P008"/>
    <x v="2"/>
    <x v="2"/>
    <n v="5"/>
    <n v="149.99"/>
    <s v="Cash"/>
    <x v="0"/>
    <s v="Premium"/>
    <d v="2024-02-25T00:00:00"/>
    <n v="749.95"/>
    <d v="2026-10-21T23:09:13"/>
    <d v="2026-10-21T00:00:00"/>
    <s v="March"/>
    <n v="10"/>
  </r>
  <r>
    <s v="TRX0207"/>
    <x v="117"/>
    <s v="CUST025"/>
    <s v="Mark Carter"/>
    <s v="P001"/>
    <x v="4"/>
    <x v="0"/>
    <n v="1"/>
    <n v="899.99"/>
    <s v="PayPal"/>
    <x v="2"/>
    <s v="Premium"/>
    <d v="2023-05-04T00:00:00"/>
    <n v="899.99"/>
    <d v="2026-10-21T23:09:13"/>
    <d v="2026-10-21T00:00:00"/>
    <s v="June"/>
    <n v="19"/>
  </r>
  <r>
    <s v="TRX0056"/>
    <x v="118"/>
    <s v="CUST019"/>
    <s v="Daniel King"/>
    <s v="P010"/>
    <x v="8"/>
    <x v="0"/>
    <n v="2"/>
    <n v="89.99"/>
    <s v="Credit Card"/>
    <x v="1"/>
    <s v="Premium"/>
    <d v="2022-01-03T00:00:00"/>
    <n v="179.98"/>
    <d v="2026-10-21T23:09:13"/>
    <d v="2026-10-21T00:00:00"/>
    <s v="February"/>
    <n v="36"/>
  </r>
  <r>
    <s v="TRX0026"/>
    <x v="119"/>
    <s v="CUST037"/>
    <s v="Arthur Edwards"/>
    <s v="P001"/>
    <x v="4"/>
    <x v="0"/>
    <n v="1"/>
    <n v="899.99"/>
    <s v="PayPal"/>
    <x v="2"/>
    <s v="Standard"/>
    <d v="2022-07-10T00:00:00"/>
    <n v="899.99"/>
    <d v="2026-10-21T23:09:13"/>
    <d v="2026-10-21T00:00:00"/>
    <s v="August"/>
    <n v="29"/>
  </r>
  <r>
    <s v="TRX0237"/>
    <x v="120"/>
    <s v="CUST006"/>
    <s v="Lisa Anderson"/>
    <s v="P003"/>
    <x v="3"/>
    <x v="0"/>
    <n v="5"/>
    <n v="149.99"/>
    <s v="PayPal"/>
    <x v="4"/>
    <s v="Premium"/>
    <d v="2022-09-20T00:00:00"/>
    <n v="749.95"/>
    <d v="2026-10-21T23:09:13"/>
    <d v="2026-10-21T00:00:00"/>
    <s v="October"/>
    <n v="27"/>
  </r>
  <r>
    <s v="TRX0091"/>
    <x v="120"/>
    <s v="CUST003"/>
    <s v="Michael Brown"/>
    <s v="P007"/>
    <x v="6"/>
    <x v="2"/>
    <n v="3"/>
    <n v="299.99"/>
    <s v="Cash"/>
    <x v="1"/>
    <s v="Standard"/>
    <d v="2021-08-14T00:00:00"/>
    <n v="899.97"/>
    <d v="2026-10-21T23:09:13"/>
    <d v="2026-10-21T00:00:00"/>
    <s v="September"/>
    <n v="40"/>
  </r>
  <r>
    <s v="TRX0125"/>
    <x v="121"/>
    <s v="CUST026"/>
    <s v="Karen Hill"/>
    <s v="P002"/>
    <x v="5"/>
    <x v="0"/>
    <n v="3"/>
    <n v="699.99"/>
    <s v="Credit Card"/>
    <x v="0"/>
    <s v="Premium"/>
    <d v="2023-06-28T00:00:00"/>
    <n v="2099.9699999999998"/>
    <d v="2026-10-21T23:09:13"/>
    <d v="2026-10-21T00:00:00"/>
    <s v="July"/>
    <n v="18"/>
  </r>
  <r>
    <s v="TRX0223"/>
    <x v="122"/>
    <s v="CUST036"/>
    <s v="Nancy Collins"/>
    <s v="P006"/>
    <x v="9"/>
    <x v="2"/>
    <n v="5"/>
    <n v="199.99"/>
    <s v="PayPal"/>
    <x v="0"/>
    <s v="Standard"/>
    <d v="2022-03-13T00:00:00"/>
    <n v="999.95"/>
    <d v="2026-10-21T23:09:13"/>
    <d v="2026-10-21T00:00:00"/>
    <s v="April"/>
    <n v="33"/>
  </r>
  <r>
    <s v="TRX0243"/>
    <x v="122"/>
    <s v="CUST048"/>
    <s v="Virginia Sanders"/>
    <s v="P009"/>
    <x v="0"/>
    <x v="0"/>
    <n v="5"/>
    <n v="249.99"/>
    <s v="Credit Card"/>
    <x v="1"/>
    <s v="Basic"/>
    <d v="2024-02-08T00:00:00"/>
    <n v="1249.95"/>
    <d v="2026-10-21T23:09:13"/>
    <d v="2026-10-21T00:00:00"/>
    <s v="March"/>
    <n v="11"/>
  </r>
  <r>
    <s v="TRX0084"/>
    <x v="123"/>
    <s v="CUST031"/>
    <s v="Steven Turner"/>
    <s v="P003"/>
    <x v="3"/>
    <x v="0"/>
    <n v="4"/>
    <n v="149.99"/>
    <s v="Debit Card"/>
    <x v="4"/>
    <s v="Standard"/>
    <d v="2021-12-06T00:00:00"/>
    <n v="599.96"/>
    <d v="2026-10-21T23:09:13"/>
    <d v="2026-10-21T00:00:00"/>
    <s v="January"/>
    <n v="37"/>
  </r>
  <r>
    <s v="TRX0238"/>
    <x v="123"/>
    <s v="CUST038"/>
    <s v="Michelle Rogers"/>
    <s v="P002"/>
    <x v="5"/>
    <x v="0"/>
    <n v="3"/>
    <n v="699.99"/>
    <s v="Cash"/>
    <x v="2"/>
    <s v="Premium"/>
    <d v="2022-02-10T00:00:00"/>
    <n v="2099.9699999999998"/>
    <d v="2026-10-21T23:09:13"/>
    <d v="2026-10-21T00:00:00"/>
    <s v="March"/>
    <n v="35"/>
  </r>
  <r>
    <s v="TRX0102"/>
    <x v="124"/>
    <s v="CUST045"/>
    <s v="Douglas Watson"/>
    <s v="P004"/>
    <x v="7"/>
    <x v="1"/>
    <n v="1"/>
    <n v="79.989999999999995"/>
    <s v="Credit Card"/>
    <x v="1"/>
    <s v="Basic"/>
    <d v="2024-01-31T00:00:00"/>
    <n v="79.989999999999995"/>
    <d v="2026-10-21T23:09:13"/>
    <d v="2026-10-21T00:00:00"/>
    <s v="February"/>
    <n v="11"/>
  </r>
  <r>
    <s v="TRX0022"/>
    <x v="124"/>
    <s v="CUST025"/>
    <s v="Mark Carter"/>
    <s v="P007"/>
    <x v="6"/>
    <x v="2"/>
    <n v="1"/>
    <n v="299.99"/>
    <s v="Credit Card"/>
    <x v="2"/>
    <s v="Basic"/>
    <d v="2021-08-28T00:00:00"/>
    <n v="299.99"/>
    <d v="2026-10-21T23:09:13"/>
    <d v="2026-10-21T00:00:00"/>
    <s v="September"/>
    <n v="40"/>
  </r>
  <r>
    <s v="TRX0087"/>
    <x v="125"/>
    <s v="CUST028"/>
    <s v="Betty Campbell"/>
    <s v="P009"/>
    <x v="0"/>
    <x v="0"/>
    <n v="4"/>
    <n v="249.99"/>
    <s v="Credit Card"/>
    <x v="2"/>
    <s v="Premium"/>
    <d v="2021-09-21T00:00:00"/>
    <n v="999.96"/>
    <d v="2026-10-21T23:09:13"/>
    <d v="2026-10-21T00:00:00"/>
    <s v="October"/>
    <n v="39"/>
  </r>
  <r>
    <s v="TRX0107"/>
    <x v="125"/>
    <s v="CUST030"/>
    <s v="Helen Roberts"/>
    <s v="P003"/>
    <x v="3"/>
    <x v="0"/>
    <n v="2"/>
    <n v="149.99"/>
    <s v="Cash"/>
    <x v="2"/>
    <s v="Standard"/>
    <d v="2022-12-18T00:00:00"/>
    <n v="299.98"/>
    <d v="2026-10-21T23:09:13"/>
    <d v="2026-10-21T00:00:00"/>
    <s v="January"/>
    <n v="24"/>
  </r>
  <r>
    <s v="TRX0051"/>
    <x v="125"/>
    <s v="CUST032"/>
    <s v="Sandra Phillips"/>
    <s v="P007"/>
    <x v="6"/>
    <x v="2"/>
    <n v="3"/>
    <n v="299.99"/>
    <s v="Credit Card"/>
    <x v="1"/>
    <s v="Basic"/>
    <d v="2023-10-05T00:00:00"/>
    <n v="899.97"/>
    <d v="2026-10-21T23:09:13"/>
    <d v="2026-10-21T00:00:00"/>
    <s v="November"/>
    <n v="15"/>
  </r>
  <r>
    <s v="TRX0106"/>
    <x v="126"/>
    <s v="CUST039"/>
    <s v="Lawrence Reed"/>
    <s v="P006"/>
    <x v="9"/>
    <x v="2"/>
    <n v="4"/>
    <n v="199.99"/>
    <s v="Debit Card"/>
    <x v="1"/>
    <s v="Standard"/>
    <d v="2021-12-14T00:00:00"/>
    <n v="799.96"/>
    <d v="2026-10-21T23:09:13"/>
    <d v="2026-10-21T00:00:00"/>
    <s v="January"/>
    <n v="37"/>
  </r>
  <r>
    <s v="TRX0059"/>
    <x v="126"/>
    <s v="CUST016"/>
    <s v="Elizabeth Hall"/>
    <s v="P007"/>
    <x v="6"/>
    <x v="2"/>
    <n v="5"/>
    <n v="299.99"/>
    <s v="Debit Card"/>
    <x v="0"/>
    <s v="Basic"/>
    <d v="2021-08-23T00:00:00"/>
    <n v="1499.95"/>
    <d v="2026-10-21T23:09:13"/>
    <d v="2026-10-21T00:00:00"/>
    <s v="September"/>
    <n v="40"/>
  </r>
  <r>
    <s v="TRX0072"/>
    <x v="126"/>
    <s v="CUST009"/>
    <s v="Robert Thomas"/>
    <s v="P008"/>
    <x v="2"/>
    <x v="2"/>
    <n v="3"/>
    <n v="149.99"/>
    <s v="Credit Card"/>
    <x v="4"/>
    <s v="Standard"/>
    <d v="2021-07-18T00:00:00"/>
    <n v="449.97"/>
    <d v="2026-10-21T23:09:13"/>
    <d v="2026-10-21T00:00:00"/>
    <s v="August"/>
    <n v="41"/>
  </r>
  <r>
    <s v="TRX0110"/>
    <x v="127"/>
    <s v="CUST006"/>
    <s v="Lisa Anderson"/>
    <s v="P005"/>
    <x v="1"/>
    <x v="1"/>
    <n v="5"/>
    <n v="59.99"/>
    <s v="Debit Card"/>
    <x v="4"/>
    <s v="Basic"/>
    <d v="2022-03-22T00:00:00"/>
    <n v="299.95"/>
    <d v="2026-10-21T23:09:13"/>
    <d v="2026-10-21T00:00:00"/>
    <s v="April"/>
    <n v="33"/>
  </r>
  <r>
    <s v="TRX0126"/>
    <x v="128"/>
    <s v="CUST022"/>
    <s v="Susan Green"/>
    <s v="P005"/>
    <x v="1"/>
    <x v="1"/>
    <n v="4"/>
    <n v="59.99"/>
    <s v="Debit Card"/>
    <x v="4"/>
    <s v="Standard"/>
    <d v="2022-01-03T00:00:00"/>
    <n v="239.96"/>
    <d v="2026-10-21T23:09:13"/>
    <d v="2026-10-21T00:00:00"/>
    <s v="February"/>
    <n v="36"/>
  </r>
  <r>
    <s v="TRX0159"/>
    <x v="129"/>
    <s v="CUST024"/>
    <s v="Dorothy Nelson"/>
    <s v="P009"/>
    <x v="0"/>
    <x v="0"/>
    <n v="4"/>
    <n v="249.99"/>
    <s v="Debit Card"/>
    <x v="0"/>
    <s v="Premium"/>
    <d v="2023-10-18T00:00:00"/>
    <n v="999.96"/>
    <d v="2026-10-21T23:09:13"/>
    <d v="2026-10-21T00:00:00"/>
    <s v="November"/>
    <n v="15"/>
  </r>
  <r>
    <s v="TRX0030"/>
    <x v="130"/>
    <s v="CUST011"/>
    <s v="William White"/>
    <s v="P001"/>
    <x v="4"/>
    <x v="0"/>
    <n v="4"/>
    <n v="899.99"/>
    <s v="PayPal"/>
    <x v="0"/>
    <s v="Basic"/>
    <d v="2022-06-22T00:00:00"/>
    <n v="3599.96"/>
    <d v="2026-10-21T23:09:13"/>
    <d v="2026-10-21T00:00:00"/>
    <s v="July"/>
    <n v="31"/>
  </r>
  <r>
    <s v="TRX0178"/>
    <x v="130"/>
    <s v="CUST025"/>
    <s v="Mark Carter"/>
    <s v="P007"/>
    <x v="6"/>
    <x v="2"/>
    <n v="3"/>
    <n v="299.99"/>
    <s v="Debit Card"/>
    <x v="3"/>
    <s v="Standard"/>
    <d v="2023-01-26T00:00:00"/>
    <n v="899.97"/>
    <d v="2026-10-21T23:09:13"/>
    <d v="2026-10-21T00:00:00"/>
    <s v="February"/>
    <n v="24"/>
  </r>
  <r>
    <s v="TRX0188"/>
    <x v="130"/>
    <s v="CUST045"/>
    <s v="Douglas Watson"/>
    <s v="P002"/>
    <x v="5"/>
    <x v="0"/>
    <n v="2"/>
    <n v="699.99"/>
    <s v="Debit Card"/>
    <x v="0"/>
    <s v="Premium"/>
    <d v="2022-04-30T00:00:00"/>
    <n v="1399.98"/>
    <d v="2026-10-21T23:09:13"/>
    <d v="2026-10-21T00:00:00"/>
    <s v="May"/>
    <n v="32"/>
  </r>
  <r>
    <s v="TRX0010"/>
    <x v="131"/>
    <s v="CUST026"/>
    <s v="Karen Hill"/>
    <s v="P002"/>
    <x v="5"/>
    <x v="0"/>
    <n v="4"/>
    <n v="699.99"/>
    <s v="Debit Card"/>
    <x v="3"/>
    <s v="Premium"/>
    <d v="2022-05-11T00:00:00"/>
    <n v="2799.96"/>
    <d v="2026-10-21T23:09:13"/>
    <d v="2026-10-21T00:00:00"/>
    <s v="June"/>
    <n v="32"/>
  </r>
  <r>
    <s v="TRX0069"/>
    <x v="131"/>
    <s v="CUST029"/>
    <s v="Edward Mitchell"/>
    <s v="P010"/>
    <x v="8"/>
    <x v="0"/>
    <n v="2"/>
    <n v="89.99"/>
    <s v="Debit Card"/>
    <x v="1"/>
    <s v="Basic"/>
    <d v="2022-08-04T00:00:00"/>
    <n v="179.98"/>
    <d v="2026-10-21T23:09:13"/>
    <d v="2026-10-21T00:00:00"/>
    <s v="September"/>
    <n v="29"/>
  </r>
  <r>
    <s v="TRX0166"/>
    <x v="131"/>
    <s v="CUST003"/>
    <s v="Michael Brown"/>
    <s v="P010"/>
    <x v="8"/>
    <x v="0"/>
    <n v="3"/>
    <n v="89.99"/>
    <s v="Debit Card"/>
    <x v="1"/>
    <s v="Premium"/>
    <d v="2024-01-16T00:00:00"/>
    <n v="269.97000000000003"/>
    <d v="2026-10-21T23:09:13"/>
    <d v="2026-10-21T00:00:00"/>
    <s v="February"/>
    <n v="12"/>
  </r>
  <r>
    <s v="TRX0219"/>
    <x v="132"/>
    <s v="CUST037"/>
    <s v="Arthur Edwards"/>
    <s v="P005"/>
    <x v="1"/>
    <x v="1"/>
    <n v="1"/>
    <n v="59.99"/>
    <s v="Debit Card"/>
    <x v="0"/>
    <s v="Standard"/>
    <d v="2023-04-29T00:00:00"/>
    <n v="59.99"/>
    <d v="2026-10-21T23:09:13"/>
    <d v="2026-10-21T00:00:00"/>
    <s v="May"/>
    <n v="21"/>
  </r>
  <r>
    <s v="TRX0024"/>
    <x v="133"/>
    <s v="CUST042"/>
    <s v="Ruth Brooks"/>
    <s v="P008"/>
    <x v="2"/>
    <x v="2"/>
    <n v="3"/>
    <n v="149.99"/>
    <s v="Debit Card"/>
    <x v="2"/>
    <s v="Premium"/>
    <d v="2022-01-03T00:00:00"/>
    <n v="449.97"/>
    <d v="2026-10-21T23:09:13"/>
    <d v="2026-10-21T00:00:00"/>
    <s v="February"/>
    <n v="37"/>
  </r>
  <r>
    <s v="TRX0105"/>
    <x v="133"/>
    <s v="CUST048"/>
    <s v="Virginia Sanders"/>
    <s v="P007"/>
    <x v="6"/>
    <x v="2"/>
    <n v="5"/>
    <n v="299.99"/>
    <s v="Credit Card"/>
    <x v="1"/>
    <s v="Basic"/>
    <d v="2023-02-02T00:00:00"/>
    <n v="1499.95"/>
    <d v="2026-10-21T23:09:13"/>
    <d v="2026-10-21T00:00:00"/>
    <s v="March"/>
    <n v="24"/>
  </r>
  <r>
    <s v="TRX0011"/>
    <x v="134"/>
    <s v="CUST040"/>
    <s v="Sharon Butler"/>
    <s v="P005"/>
    <x v="1"/>
    <x v="1"/>
    <n v="5"/>
    <n v="59.99"/>
    <s v="Debit Card"/>
    <x v="0"/>
    <s v="Standard"/>
    <d v="2023-09-08T00:00:00"/>
    <n v="299.95"/>
    <d v="2026-10-21T23:09:13"/>
    <d v="2026-10-21T00:00:00"/>
    <s v="October"/>
    <n v="17"/>
  </r>
  <r>
    <s v="TRX0187"/>
    <x v="135"/>
    <s v="CUST036"/>
    <s v="Nancy Collins"/>
    <s v="P004"/>
    <x v="7"/>
    <x v="1"/>
    <n v="3"/>
    <n v="79.989999999999995"/>
    <s v="Cash"/>
    <x v="4"/>
    <s v="Premium"/>
    <d v="2021-08-28T00:00:00"/>
    <n v="239.97"/>
    <d v="2026-10-21T23:09:13"/>
    <d v="2026-10-21T00:00:00"/>
    <s v="September"/>
    <n v="41"/>
  </r>
  <r>
    <s v="TRX0089"/>
    <x v="136"/>
    <s v="CUST021"/>
    <s v="Kevin Scott"/>
    <s v="P006"/>
    <x v="9"/>
    <x v="2"/>
    <n v="3"/>
    <n v="199.99"/>
    <s v="Cash"/>
    <x v="0"/>
    <s v="Basic"/>
    <d v="2022-06-23T00:00:00"/>
    <n v="599.97"/>
    <d v="2026-10-21T23:09:13"/>
    <d v="2026-10-21T00:00:00"/>
    <s v="July"/>
    <n v="31"/>
  </r>
  <r>
    <s v="TRX0196"/>
    <x v="136"/>
    <s v="CUST023"/>
    <s v="Paul Baker"/>
    <s v="P010"/>
    <x v="8"/>
    <x v="0"/>
    <n v="2"/>
    <n v="89.99"/>
    <s v="PayPal"/>
    <x v="0"/>
    <s v="Basic"/>
    <d v="2023-11-27T00:00:00"/>
    <n v="179.98"/>
    <d v="2026-10-21T23:09:13"/>
    <d v="2026-10-21T00:00:00"/>
    <s v="December"/>
    <n v="14"/>
  </r>
  <r>
    <s v="TRX0118"/>
    <x v="137"/>
    <s v="CUST015"/>
    <s v="Richard Lee"/>
    <s v="P008"/>
    <x v="2"/>
    <x v="2"/>
    <n v="2"/>
    <n v="149.99"/>
    <s v="Cash"/>
    <x v="1"/>
    <s v="Premium"/>
    <d v="2022-06-16T00:00:00"/>
    <n v="299.98"/>
    <d v="2026-10-21T23:09:13"/>
    <d v="2026-10-21T00:00:00"/>
    <s v="July"/>
    <n v="32"/>
  </r>
  <r>
    <s v="TRX0179"/>
    <x v="138"/>
    <s v="CUST029"/>
    <s v="Edward Mitchell"/>
    <s v="P002"/>
    <x v="5"/>
    <x v="0"/>
    <n v="5"/>
    <n v="699.99"/>
    <s v="PayPal"/>
    <x v="1"/>
    <s v="Premium"/>
    <d v="2024-03-01T00:00:00"/>
    <n v="3499.95"/>
    <d v="2026-10-21T23:09:13"/>
    <d v="2026-10-21T00:00:00"/>
    <s v="April"/>
    <n v="11"/>
  </r>
  <r>
    <s v="TRX0168"/>
    <x v="138"/>
    <s v="CUST003"/>
    <s v="Michael Brown"/>
    <s v="P008"/>
    <x v="2"/>
    <x v="2"/>
    <n v="3"/>
    <n v="149.99"/>
    <s v="PayPal"/>
    <x v="0"/>
    <s v="Standard"/>
    <d v="2022-03-13T00:00:00"/>
    <n v="449.97"/>
    <d v="2026-10-21T23:09:13"/>
    <d v="2026-10-21T00:00:00"/>
    <s v="April"/>
    <n v="35"/>
  </r>
  <r>
    <s v="TRX0214"/>
    <x v="139"/>
    <s v="CUST018"/>
    <s v="Barbara Young"/>
    <s v="P001"/>
    <x v="4"/>
    <x v="0"/>
    <n v="3"/>
    <n v="899.99"/>
    <s v="Cash"/>
    <x v="4"/>
    <s v="Standard"/>
    <d v="2022-02-21T00:00:00"/>
    <n v="2699.97"/>
    <d v="2026-10-21T23:09:13"/>
    <d v="2026-10-21T00:00:00"/>
    <s v="March"/>
    <n v="35"/>
  </r>
  <r>
    <s v="TRX0221"/>
    <x v="139"/>
    <s v="CUST033"/>
    <s v="Frank Torres"/>
    <s v="P006"/>
    <x v="9"/>
    <x v="2"/>
    <n v="3"/>
    <n v="199.99"/>
    <s v="Cash"/>
    <x v="3"/>
    <s v="Premium"/>
    <d v="2022-09-19T00:00:00"/>
    <n v="599.97"/>
    <d v="2026-10-21T23:09:13"/>
    <d v="2026-10-21T00:00:00"/>
    <s v="October"/>
    <n v="29"/>
  </r>
  <r>
    <s v="TRX0083"/>
    <x v="140"/>
    <s v="CUST017"/>
    <s v="Charles Allen"/>
    <s v="P007"/>
    <x v="6"/>
    <x v="2"/>
    <n v="5"/>
    <n v="299.99"/>
    <s v="Cash"/>
    <x v="3"/>
    <s v="Standard"/>
    <d v="2023-08-04T00:00:00"/>
    <n v="1499.95"/>
    <d v="2026-10-21T23:09:13"/>
    <d v="2026-10-21T00:00:00"/>
    <s v="September"/>
    <n v="18"/>
  </r>
  <r>
    <s v="TRX0151"/>
    <x v="140"/>
    <s v="CUST040"/>
    <s v="Sharon Butler"/>
    <s v="P002"/>
    <x v="5"/>
    <x v="0"/>
    <n v="1"/>
    <n v="699.99"/>
    <s v="PayPal"/>
    <x v="3"/>
    <s v="Basic"/>
    <d v="2023-01-08T00:00:00"/>
    <n v="699.99"/>
    <d v="2026-10-21T23:09:13"/>
    <d v="2026-10-21T00:00:00"/>
    <s v="February"/>
    <n v="25"/>
  </r>
  <r>
    <s v="TRX0047"/>
    <x v="141"/>
    <s v="CUST042"/>
    <s v="Ruth Brooks"/>
    <s v="P002"/>
    <x v="5"/>
    <x v="0"/>
    <n v="1"/>
    <n v="699.99"/>
    <s v="Cash"/>
    <x v="2"/>
    <s v="Premium"/>
    <d v="2022-01-22T00:00:00"/>
    <n v="699.99"/>
    <d v="2026-10-21T23:09:13"/>
    <d v="2026-10-21T00:00:00"/>
    <s v="February"/>
    <n v="37"/>
  </r>
  <r>
    <s v="TRX0200"/>
    <x v="141"/>
    <s v="CUST037"/>
    <s v="Arthur Edwards"/>
    <s v="P008"/>
    <x v="2"/>
    <x v="2"/>
    <n v="4"/>
    <n v="149.99"/>
    <s v="PayPal"/>
    <x v="2"/>
    <s v="Premium"/>
    <d v="2021-08-04T00:00:00"/>
    <n v="599.96"/>
    <d v="2026-10-21T23:09:13"/>
    <d v="2026-10-21T00:00:00"/>
    <s v="September"/>
    <n v="42"/>
  </r>
  <r>
    <s v="TRX0062"/>
    <x v="141"/>
    <s v="CUST016"/>
    <s v="Elizabeth Hall"/>
    <s v="P010"/>
    <x v="8"/>
    <x v="0"/>
    <n v="5"/>
    <n v="89.99"/>
    <s v="PayPal"/>
    <x v="3"/>
    <s v="Premium"/>
    <d v="2023-08-02T00:00:00"/>
    <n v="449.95"/>
    <d v="2026-10-21T23:09:13"/>
    <d v="2026-10-21T00:00:00"/>
    <s v="September"/>
    <n v="18"/>
  </r>
  <r>
    <s v="TRX0182"/>
    <x v="142"/>
    <s v="CUST031"/>
    <s v="Steven Turner"/>
    <s v="P006"/>
    <x v="9"/>
    <x v="2"/>
    <n v="2"/>
    <n v="199.99"/>
    <s v="Cash"/>
    <x v="0"/>
    <s v="Premium"/>
    <d v="2022-01-12T00:00:00"/>
    <n v="399.98"/>
    <d v="2026-10-21T23:09:13"/>
    <d v="2026-10-21T00:00:00"/>
    <s v="February"/>
    <n v="37"/>
  </r>
  <r>
    <s v="TRX0229"/>
    <x v="143"/>
    <s v="CUST015"/>
    <s v="Richard Lee"/>
    <s v="P005"/>
    <x v="1"/>
    <x v="1"/>
    <n v="4"/>
    <n v="59.99"/>
    <s v="Cash"/>
    <x v="3"/>
    <s v="Standard"/>
    <d v="2023-05-24T00:00:00"/>
    <n v="239.96"/>
    <d v="2026-10-21T23:09:13"/>
    <d v="2026-10-21T00:00:00"/>
    <s v="June"/>
    <n v="21"/>
  </r>
  <r>
    <s v="TRX0048"/>
    <x v="143"/>
    <s v="CUST048"/>
    <s v="Virginia Sanders"/>
    <s v="P007"/>
    <x v="6"/>
    <x v="2"/>
    <n v="2"/>
    <n v="299.99"/>
    <s v="PayPal"/>
    <x v="1"/>
    <s v="Basic"/>
    <d v="2022-01-15T00:00:00"/>
    <n v="599.98"/>
    <d v="2026-10-21T23:09:13"/>
    <d v="2026-10-21T00:00:00"/>
    <s v="February"/>
    <n v="37"/>
  </r>
  <r>
    <s v="TRX0227"/>
    <x v="144"/>
    <s v="CUST017"/>
    <s v="Charles Allen"/>
    <s v="P008"/>
    <x v="2"/>
    <x v="2"/>
    <n v="2"/>
    <n v="149.99"/>
    <s v="Cash"/>
    <x v="0"/>
    <s v="Basic"/>
    <d v="2023-05-22T00:00:00"/>
    <n v="299.98"/>
    <d v="2026-10-21T23:09:13"/>
    <d v="2026-10-21T00:00:00"/>
    <s v="June"/>
    <n v="21"/>
  </r>
  <r>
    <s v="TRX0226"/>
    <x v="145"/>
    <s v="CUST039"/>
    <s v="Lawrence Reed"/>
    <s v="P002"/>
    <x v="5"/>
    <x v="0"/>
    <n v="5"/>
    <n v="699.99"/>
    <s v="Debit Card"/>
    <x v="4"/>
    <s v="Premium"/>
    <d v="2023-08-23T00:00:00"/>
    <n v="3499.95"/>
    <d v="2026-10-21T23:09:13"/>
    <d v="2026-10-21T00:00:00"/>
    <s v="September"/>
    <n v="18"/>
  </r>
  <r>
    <s v="TRX0053"/>
    <x v="146"/>
    <s v="CUST043"/>
    <s v="Dennis Gray"/>
    <s v="P005"/>
    <x v="1"/>
    <x v="1"/>
    <n v="5"/>
    <n v="59.99"/>
    <s v="Cash"/>
    <x v="3"/>
    <s v="Premium"/>
    <d v="2023-12-31T00:00:00"/>
    <n v="299.95"/>
    <d v="2026-10-21T23:09:13"/>
    <d v="2026-10-21T00:00:00"/>
    <s v="January"/>
    <n v="14"/>
  </r>
  <r>
    <s v="TRX0233"/>
    <x v="147"/>
    <s v="CUST023"/>
    <s v="Paul Baker"/>
    <s v="P010"/>
    <x v="8"/>
    <x v="0"/>
    <n v="2"/>
    <n v="89.99"/>
    <s v="Credit Card"/>
    <x v="3"/>
    <s v="Premium"/>
    <d v="2024-01-04T00:00:00"/>
    <n v="179.98"/>
    <d v="2026-10-21T23:09:13"/>
    <d v="2026-10-21T00:00:00"/>
    <s v="February"/>
    <n v="14"/>
  </r>
  <r>
    <s v="TRX0175"/>
    <x v="147"/>
    <s v="CUST030"/>
    <s v="Helen Roberts"/>
    <s v="P009"/>
    <x v="0"/>
    <x v="0"/>
    <n v="5"/>
    <n v="249.99"/>
    <s v="Cash"/>
    <x v="4"/>
    <s v="Standard"/>
    <d v="2021-12-10T00:00:00"/>
    <n v="1249.95"/>
    <d v="2026-10-21T23:09:13"/>
    <d v="2026-10-21T00:00:00"/>
    <s v="January"/>
    <n v="38"/>
  </r>
  <r>
    <s v="TRX0186"/>
    <x v="148"/>
    <s v="CUST039"/>
    <s v="Lawrence Reed"/>
    <s v="P008"/>
    <x v="2"/>
    <x v="2"/>
    <n v="2"/>
    <n v="149.99"/>
    <s v="PayPal"/>
    <x v="0"/>
    <s v="Premium"/>
    <d v="2022-03-12T00:00:00"/>
    <n v="299.98"/>
    <d v="2026-10-21T23:09:13"/>
    <d v="2026-10-21T00:00:00"/>
    <s v="April"/>
    <n v="35"/>
  </r>
  <r>
    <s v="TRX0016"/>
    <x v="148"/>
    <s v="CUST035"/>
    <s v="Harry Morgan"/>
    <s v="P001"/>
    <x v="4"/>
    <x v="0"/>
    <n v="5"/>
    <n v="899.99"/>
    <s v="PayPal"/>
    <x v="4"/>
    <s v="Premium"/>
    <d v="2024-04-07T00:00:00"/>
    <n v="4499.95"/>
    <d v="2026-10-21T23:09:13"/>
    <d v="2026-10-21T00:00:00"/>
    <s v="May"/>
    <n v="11"/>
  </r>
  <r>
    <s v="TRX0199"/>
    <x v="148"/>
    <s v="CUST017"/>
    <s v="Charles Allen"/>
    <s v="P008"/>
    <x v="2"/>
    <x v="2"/>
    <n v="4"/>
    <n v="149.99"/>
    <s v="Cash"/>
    <x v="0"/>
    <s v="Standard"/>
    <d v="2023-12-03T00:00:00"/>
    <n v="599.96"/>
    <d v="2026-10-21T23:09:13"/>
    <d v="2026-10-21T00:00:00"/>
    <s v="January"/>
    <n v="15"/>
  </r>
  <r>
    <s v="TRX0038"/>
    <x v="149"/>
    <s v="CUST035"/>
    <s v="Harry Morgan"/>
    <s v="P009"/>
    <x v="0"/>
    <x v="0"/>
    <n v="1"/>
    <n v="249.99"/>
    <s v="Cash"/>
    <x v="2"/>
    <s v="Standard"/>
    <d v="2023-07-10T00:00:00"/>
    <n v="249.99"/>
    <d v="2026-10-21T23:09:13"/>
    <d v="2026-10-21T00:00:00"/>
    <s v="August"/>
    <n v="20"/>
  </r>
  <r>
    <s v="TRX0014"/>
    <x v="150"/>
    <s v="CUST033"/>
    <s v="Frank Torres"/>
    <s v="P005"/>
    <x v="1"/>
    <x v="1"/>
    <n v="2"/>
    <n v="59.99"/>
    <s v="Credit Card"/>
    <x v="3"/>
    <s v="Basic"/>
    <d v="2023-09-24T00:00:00"/>
    <n v="119.98"/>
    <d v="2026-10-21T23:09:13"/>
    <d v="2026-10-21T00:00:00"/>
    <s v="October"/>
    <n v="17"/>
  </r>
  <r>
    <s v="TRX0003"/>
    <x v="151"/>
    <s v="CUST002"/>
    <s v="Emma Wilson"/>
    <s v="P008"/>
    <x v="2"/>
    <x v="2"/>
    <n v="2"/>
    <n v="149.99"/>
    <s v="Cash"/>
    <x v="3"/>
    <s v="Premium"/>
    <d v="2023-11-03T00:00:00"/>
    <n v="299.98"/>
    <d v="2026-10-21T23:09:13"/>
    <d v="2026-10-21T00:00:00"/>
    <s v="December"/>
    <n v="16"/>
  </r>
  <r>
    <s v="TRX0124"/>
    <x v="151"/>
    <s v="CUST040"/>
    <s v="Sharon Butler"/>
    <s v="P001"/>
    <x v="4"/>
    <x v="0"/>
    <n v="3"/>
    <n v="899.99"/>
    <s v="Debit Card"/>
    <x v="2"/>
    <s v="Premium"/>
    <d v="2022-11-11T00:00:00"/>
    <n v="2699.97"/>
    <d v="2026-10-21T23:09:13"/>
    <d v="2026-10-21T00:00:00"/>
    <s v="December"/>
    <n v="28"/>
  </r>
  <r>
    <s v="TRX0013"/>
    <x v="151"/>
    <s v="CUST024"/>
    <s v="Dorothy Nelson"/>
    <s v="P001"/>
    <x v="4"/>
    <x v="0"/>
    <n v="3"/>
    <n v="899.99"/>
    <s v="PayPal"/>
    <x v="2"/>
    <s v="Basic"/>
    <d v="2023-02-18T00:00:00"/>
    <n v="2699.97"/>
    <d v="2026-10-21T23:09:13"/>
    <d v="2026-10-21T00:00:00"/>
    <s v="March"/>
    <n v="25"/>
  </r>
  <r>
    <s v="TRX0019"/>
    <x v="152"/>
    <s v="CUST023"/>
    <s v="Paul Baker"/>
    <s v="P007"/>
    <x v="6"/>
    <x v="2"/>
    <n v="3"/>
    <n v="299.99"/>
    <s v="Credit Card"/>
    <x v="3"/>
    <s v="Premium"/>
    <d v="2023-11-04T00:00:00"/>
    <n v="899.97"/>
    <d v="2026-10-21T23:09:13"/>
    <d v="2026-10-21T00:00:00"/>
    <s v="December"/>
    <n v="16"/>
  </r>
  <r>
    <s v="TRX0050"/>
    <x v="153"/>
    <s v="CUST001"/>
    <s v="John Smith"/>
    <s v="P008"/>
    <x v="2"/>
    <x v="2"/>
    <n v="4"/>
    <n v="149.99"/>
    <s v="PayPal"/>
    <x v="3"/>
    <s v="Standard"/>
    <d v="2021-12-30T00:00:00"/>
    <n v="599.96"/>
    <d v="2026-10-21T23:09:13"/>
    <d v="2026-10-21T00:00:00"/>
    <s v="January"/>
    <n v="38"/>
  </r>
  <r>
    <s v="TRX0152"/>
    <x v="154"/>
    <s v="CUST044"/>
    <s v="Cynthia Price"/>
    <s v="P004"/>
    <x v="7"/>
    <x v="1"/>
    <n v="4"/>
    <n v="79.989999999999995"/>
    <s v="Credit Card"/>
    <x v="0"/>
    <s v="Basic"/>
    <d v="2023-12-28T00:00:00"/>
    <n v="319.95999999999998"/>
    <d v="2026-10-21T23:09:13"/>
    <d v="2026-10-21T00:00:00"/>
    <s v="January"/>
    <n v="14"/>
  </r>
  <r>
    <s v="TRX0213"/>
    <x v="155"/>
    <s v="CUST020"/>
    <s v="Margaret Wright"/>
    <s v="P010"/>
    <x v="8"/>
    <x v="0"/>
    <n v="5"/>
    <n v="89.99"/>
    <s v="PayPal"/>
    <x v="1"/>
    <s v="Basic"/>
    <d v="2022-05-23T00:00:00"/>
    <n v="449.95"/>
    <d v="2026-10-21T23:09:13"/>
    <d v="2026-10-21T00:00:00"/>
    <s v="June"/>
    <n v="34"/>
  </r>
  <r>
    <s v="TRX0197"/>
    <x v="156"/>
    <s v="CUST048"/>
    <s v="Virginia Sanders"/>
    <s v="P008"/>
    <x v="2"/>
    <x v="2"/>
    <n v="3"/>
    <n v="149.99"/>
    <s v="PayPal"/>
    <x v="0"/>
    <s v="Standard"/>
    <d v="2023-09-02T00:00:00"/>
    <n v="449.97"/>
    <d v="2026-10-21T23:09:13"/>
    <d v="2026-10-21T00:00:00"/>
    <s v="October"/>
    <n v="18"/>
  </r>
  <r>
    <s v="TRX0250"/>
    <x v="156"/>
    <s v="CUST026"/>
    <s v="Karen Hill"/>
    <s v="P010"/>
    <x v="8"/>
    <x v="0"/>
    <n v="2"/>
    <n v="89.99"/>
    <s v="Debit Card"/>
    <x v="3"/>
    <s v="Premium"/>
    <d v="2021-11-22T00:00:00"/>
    <n v="179.98"/>
    <d v="2026-10-21T23:09:13"/>
    <d v="2026-10-21T00:00:00"/>
    <s v="December"/>
    <n v="40"/>
  </r>
  <r>
    <s v="TRX0068"/>
    <x v="157"/>
    <s v="CUST044"/>
    <s v="Cynthia Price"/>
    <s v="P002"/>
    <x v="5"/>
    <x v="0"/>
    <n v="2"/>
    <n v="699.99"/>
    <s v="PayPal"/>
    <x v="2"/>
    <s v="Standard"/>
    <d v="2022-02-26T00:00:00"/>
    <n v="1399.98"/>
    <d v="2026-10-21T23:09:13"/>
    <d v="2026-10-21T00:00:00"/>
    <s v="March"/>
    <n v="37"/>
  </r>
  <r>
    <s v="TRX0144"/>
    <x v="158"/>
    <s v="CUST029"/>
    <s v="Edward Mitchell"/>
    <s v="P001"/>
    <x v="4"/>
    <x v="0"/>
    <n v="3"/>
    <n v="899.99"/>
    <s v="Cash"/>
    <x v="0"/>
    <s v="Standard"/>
    <d v="2023-01-27T00:00:00"/>
    <n v="2699.97"/>
    <d v="2026-10-21T23:09:13"/>
    <d v="2026-10-21T00:00:00"/>
    <s v="February"/>
    <n v="26"/>
  </r>
  <r>
    <s v="TRX0039"/>
    <x v="159"/>
    <s v="CUST048"/>
    <s v="Virginia Sanders"/>
    <s v="P004"/>
    <x v="7"/>
    <x v="1"/>
    <n v="3"/>
    <n v="79.989999999999995"/>
    <s v="Credit Card"/>
    <x v="2"/>
    <s v="Basic"/>
    <d v="2021-11-11T00:00:00"/>
    <n v="239.97"/>
    <d v="2026-10-21T23:09:13"/>
    <d v="2026-10-21T00:00:00"/>
    <s v="December"/>
    <n v="40"/>
  </r>
  <r>
    <s v="TRX0116"/>
    <x v="160"/>
    <s v="CUST009"/>
    <s v="Robert Thomas"/>
    <s v="P010"/>
    <x v="8"/>
    <x v="0"/>
    <n v="1"/>
    <n v="89.99"/>
    <s v="Debit Card"/>
    <x v="4"/>
    <s v="Basic"/>
    <d v="2024-02-24T00:00:00"/>
    <n v="89.99"/>
    <d v="2026-10-21T23:09:13"/>
    <d v="2026-10-21T00:00:00"/>
    <s v="March"/>
    <n v="13"/>
  </r>
  <r>
    <s v="TRX0120"/>
    <x v="161"/>
    <s v="CUST045"/>
    <s v="Douglas Watson"/>
    <s v="P002"/>
    <x v="5"/>
    <x v="0"/>
    <n v="3"/>
    <n v="699.99"/>
    <s v="PayPal"/>
    <x v="2"/>
    <s v="Basic"/>
    <d v="2022-12-14T00:00:00"/>
    <n v="2099.9699999999998"/>
    <d v="2026-10-21T23:09:13"/>
    <d v="2026-10-21T00:00:00"/>
    <s v="January"/>
    <n v="27"/>
  </r>
  <r>
    <s v="TRX0103"/>
    <x v="161"/>
    <s v="CUST039"/>
    <s v="Lawrence Reed"/>
    <s v="P010"/>
    <x v="8"/>
    <x v="0"/>
    <n v="2"/>
    <n v="89.99"/>
    <s v="Debit Card"/>
    <x v="4"/>
    <s v="Basic"/>
    <d v="2023-06-11T00:00:00"/>
    <n v="179.98"/>
    <d v="2026-10-21T23:09:13"/>
    <d v="2026-10-21T00:00:00"/>
    <s v="July"/>
    <n v="22"/>
  </r>
  <r>
    <s v="TRX0064"/>
    <x v="161"/>
    <s v="CUST031"/>
    <s v="Steven Turner"/>
    <s v="P010"/>
    <x v="8"/>
    <x v="0"/>
    <n v="3"/>
    <n v="89.99"/>
    <s v="Debit Card"/>
    <x v="2"/>
    <s v="Premium"/>
    <d v="2022-11-13T00:00:00"/>
    <n v="269.97000000000003"/>
    <d v="2026-10-21T23:09:13"/>
    <d v="2026-10-21T00:00:00"/>
    <s v="December"/>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D08B3-7E00-402C-8ED3-D0262C6681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dataField="1" showAll="0"/>
    <pivotField showAll="0"/>
    <pivotField showAll="0">
      <items count="6">
        <item h="1" x="0"/>
        <item h="1" x="4"/>
        <item h="1" x="2"/>
        <item x="1"/>
        <item h="1" x="3"/>
        <item t="default"/>
      </items>
    </pivotField>
    <pivotField showAll="0"/>
    <pivotField numFmtId="14" showAll="0"/>
    <pivotField showAll="0"/>
    <pivotField numFmtId="22" showAll="0"/>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Unit_Price" fld="8"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4979A-663A-4165-8232-A442F1CA45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items count="6">
        <item h="1" x="0"/>
        <item h="1" x="4"/>
        <item h="1" x="2"/>
        <item x="1"/>
        <item h="1" x="3"/>
        <item t="default"/>
      </items>
    </pivotField>
    <pivotField showAll="0"/>
    <pivotField numFmtId="14" showAll="0"/>
    <pivotField dataField="1" showAll="0"/>
    <pivotField numFmtId="22" showAll="0"/>
    <pivotField numFmtId="14"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A157CC-0A73-47F5-8867-09DB58DDBA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0" firstDataRow="1" firstDataCol="1"/>
  <pivotFields count="21">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dataField="1" showAll="0"/>
    <pivotField showAll="0"/>
    <pivotField showAll="0"/>
    <pivotField showAll="0"/>
    <pivotField showAll="0"/>
    <pivotField dataField="1" showAll="0"/>
    <pivotField showAll="0"/>
    <pivotField showAll="0"/>
    <pivotField axis="axisRow" showAll="0">
      <items count="6">
        <item h="1" x="0"/>
        <item h="1" x="4"/>
        <item h="1" x="2"/>
        <item x="1"/>
        <item h="1" x="3"/>
        <item t="default"/>
      </items>
    </pivotField>
    <pivotField showAll="0"/>
    <pivotField numFmtId="14" showAll="0"/>
    <pivotField dataField="1" showAll="0"/>
    <pivotField numFmtId="22" showAll="0"/>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2">
    <i>
      <x v="3"/>
    </i>
    <i t="grand">
      <x/>
    </i>
  </rowItems>
  <colFields count="1">
    <field x="-2"/>
  </colFields>
  <colItems count="4">
    <i>
      <x/>
    </i>
    <i i="1">
      <x v="1"/>
    </i>
    <i i="2">
      <x v="2"/>
    </i>
    <i i="3">
      <x v="3"/>
    </i>
  </colItems>
  <dataFields count="4">
    <dataField name="Count of Transaction_ID" fld="0" subtotal="count" baseField="0" baseItem="0"/>
    <dataField name="Count of Customer_ID" fld="2" subtotal="count" baseField="0" baseItem="0"/>
    <dataField name="Sum of Quantity" fld="7" baseField="0" baseItem="0"/>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73CA98-1ED9-4137-9570-4C9262EF45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h="1" x="0"/>
        <item h="1" x="4"/>
        <item h="1" x="2"/>
        <item x="1"/>
        <item h="1" x="3"/>
        <item t="default"/>
      </items>
    </pivotField>
    <pivotField showAll="0"/>
    <pivotField numFmtId="14" showAll="0"/>
    <pivotField dataField="1" showAll="0"/>
    <pivotField numFmtId="22"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B27BEF-6A7E-4E70-928B-430320E3FDC3}" sourceName="Region">
  <pivotTables>
    <pivotTable tabId="10" name="PivotTable6"/>
    <pivotTable tabId="11" name="PivotTable1"/>
    <pivotTable tabId="12" name="PivotTable2"/>
    <pivotTable tabId="13" name="PivotTable1"/>
  </pivotTables>
  <data>
    <tabular pivotCacheId="1250121581">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A2051D5-8BE4-435A-B129-AE9ACABC7F4A}"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36DE-0845-4CBD-A2C0-A873A69BF6C3}">
  <dimension ref="A1:I18"/>
  <sheetViews>
    <sheetView workbookViewId="0">
      <selection activeCell="K9" sqref="K9"/>
    </sheetView>
  </sheetViews>
  <sheetFormatPr defaultRowHeight="14.5" x14ac:dyDescent="0.35"/>
  <cols>
    <col min="1" max="1" width="11.26953125" customWidth="1"/>
    <col min="2" max="2" width="10.7265625" customWidth="1"/>
    <col min="3" max="3" width="12.1796875" customWidth="1"/>
    <col min="4" max="4" width="12.81640625" customWidth="1"/>
    <col min="6" max="6" width="11.54296875" customWidth="1"/>
    <col min="7" max="7" width="11.453125" customWidth="1"/>
    <col min="8" max="8" width="11" customWidth="1"/>
    <col min="9" max="9" width="12.54296875" customWidth="1"/>
  </cols>
  <sheetData>
    <row r="1" spans="1:9" x14ac:dyDescent="0.35">
      <c r="A1" t="s">
        <v>0</v>
      </c>
    </row>
    <row r="2" spans="1:9" ht="15" thickBot="1" x14ac:dyDescent="0.4"/>
    <row r="3" spans="1:9" x14ac:dyDescent="0.35">
      <c r="A3" s="8" t="s">
        <v>1</v>
      </c>
      <c r="B3" s="8"/>
    </row>
    <row r="4" spans="1:9" x14ac:dyDescent="0.35">
      <c r="A4" t="s">
        <v>2</v>
      </c>
      <c r="B4">
        <v>0.45808036093237842</v>
      </c>
    </row>
    <row r="5" spans="1:9" x14ac:dyDescent="0.35">
      <c r="A5" t="s">
        <v>3</v>
      </c>
      <c r="B5">
        <v>0.2098376170719381</v>
      </c>
    </row>
    <row r="6" spans="1:9" x14ac:dyDescent="0.35">
      <c r="A6" t="s">
        <v>4</v>
      </c>
      <c r="B6">
        <v>0.20665147843109913</v>
      </c>
    </row>
    <row r="7" spans="1:9" x14ac:dyDescent="0.35">
      <c r="A7" t="s">
        <v>5</v>
      </c>
      <c r="B7">
        <v>919.60715349471081</v>
      </c>
    </row>
    <row r="8" spans="1:9" ht="15" thickBot="1" x14ac:dyDescent="0.4">
      <c r="A8" s="6" t="s">
        <v>6</v>
      </c>
      <c r="B8" s="6">
        <v>250</v>
      </c>
    </row>
    <row r="10" spans="1:9" ht="15" thickBot="1" x14ac:dyDescent="0.4">
      <c r="A10" t="s">
        <v>7</v>
      </c>
    </row>
    <row r="11" spans="1:9" x14ac:dyDescent="0.35">
      <c r="A11" s="7"/>
      <c r="B11" s="7" t="s">
        <v>8</v>
      </c>
      <c r="C11" s="7" t="s">
        <v>9</v>
      </c>
      <c r="D11" s="7" t="s">
        <v>10</v>
      </c>
      <c r="E11" s="7" t="s">
        <v>11</v>
      </c>
      <c r="F11" s="7" t="s">
        <v>12</v>
      </c>
    </row>
    <row r="12" spans="1:9" x14ac:dyDescent="0.35">
      <c r="A12" t="s">
        <v>13</v>
      </c>
      <c r="B12">
        <v>1</v>
      </c>
      <c r="C12">
        <v>55695916.896352619</v>
      </c>
      <c r="D12">
        <v>55695916.896352619</v>
      </c>
      <c r="E12">
        <v>65.859537429508919</v>
      </c>
      <c r="F12">
        <v>2.2586478953134677E-14</v>
      </c>
    </row>
    <row r="13" spans="1:9" x14ac:dyDescent="0.35">
      <c r="A13" t="s">
        <v>14</v>
      </c>
      <c r="B13">
        <v>248</v>
      </c>
      <c r="C13">
        <v>209727974.55614385</v>
      </c>
      <c r="D13">
        <v>845677.31675864453</v>
      </c>
    </row>
    <row r="14" spans="1:9" ht="15" thickBot="1" x14ac:dyDescent="0.4">
      <c r="A14" s="6" t="s">
        <v>15</v>
      </c>
      <c r="B14" s="6">
        <v>249</v>
      </c>
      <c r="C14" s="6">
        <v>265423891.45249647</v>
      </c>
      <c r="D14" s="6"/>
      <c r="E14" s="6"/>
      <c r="F14" s="6"/>
    </row>
    <row r="15" spans="1:9" ht="15" thickBot="1" x14ac:dyDescent="0.4"/>
    <row r="16" spans="1:9" x14ac:dyDescent="0.35">
      <c r="A16" s="7"/>
      <c r="B16" s="7" t="s">
        <v>16</v>
      </c>
      <c r="C16" s="7" t="s">
        <v>5</v>
      </c>
      <c r="D16" s="7" t="s">
        <v>17</v>
      </c>
      <c r="E16" s="7" t="s">
        <v>18</v>
      </c>
      <c r="F16" s="7" t="s">
        <v>19</v>
      </c>
      <c r="G16" s="7" t="s">
        <v>20</v>
      </c>
      <c r="H16" s="7" t="s">
        <v>21</v>
      </c>
      <c r="I16" s="7" t="s">
        <v>22</v>
      </c>
    </row>
    <row r="17" spans="1:9" x14ac:dyDescent="0.35">
      <c r="A17" t="s">
        <v>23</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4">
      <c r="A18" s="6" t="s">
        <v>24</v>
      </c>
      <c r="B18" s="6">
        <v>353.7930042879882</v>
      </c>
      <c r="C18" s="6">
        <v>43.595323340526868</v>
      </c>
      <c r="D18" s="6">
        <v>8.1153889265708674</v>
      </c>
      <c r="E18" s="6">
        <v>2.2586478953133775E-14</v>
      </c>
      <c r="F18" s="6">
        <v>267.92871682452869</v>
      </c>
      <c r="G18" s="6">
        <v>439.6572917514477</v>
      </c>
      <c r="H18" s="6">
        <v>267.92871682452869</v>
      </c>
      <c r="I18" s="6">
        <v>439.6572917514477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9745-10D4-4ACD-80B3-CD78EC4BCF6A}">
  <dimension ref="A3:B7"/>
  <sheetViews>
    <sheetView workbookViewId="0">
      <selection activeCell="L12" sqref="L12"/>
    </sheetView>
  </sheetViews>
  <sheetFormatPr defaultRowHeight="14.5" x14ac:dyDescent="0.35"/>
  <cols>
    <col min="1" max="1" width="12.453125" bestFit="1" customWidth="1"/>
    <col min="2" max="2" width="15.7265625" bestFit="1" customWidth="1"/>
  </cols>
  <sheetData>
    <row r="3" spans="1:2" x14ac:dyDescent="0.35">
      <c r="A3" s="11" t="s">
        <v>25</v>
      </c>
      <c r="B3" t="s">
        <v>26</v>
      </c>
    </row>
    <row r="4" spans="1:2" x14ac:dyDescent="0.35">
      <c r="A4" s="12" t="s">
        <v>27</v>
      </c>
      <c r="B4">
        <v>399.94</v>
      </c>
    </row>
    <row r="5" spans="1:2" x14ac:dyDescent="0.35">
      <c r="A5" s="12" t="s">
        <v>28</v>
      </c>
      <c r="B5">
        <v>6389.7799999999979</v>
      </c>
    </row>
    <row r="6" spans="1:2" x14ac:dyDescent="0.35">
      <c r="A6" s="12" t="s">
        <v>29</v>
      </c>
      <c r="B6">
        <v>3399.8599999999988</v>
      </c>
    </row>
    <row r="7" spans="1:2" x14ac:dyDescent="0.35">
      <c r="A7" s="12" t="s">
        <v>30</v>
      </c>
      <c r="B7">
        <v>10189.579999999996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EAEE-BE4F-4CA0-9A8F-AF675158C2BB}">
  <dimension ref="A3:B16"/>
  <sheetViews>
    <sheetView workbookViewId="0">
      <selection activeCell="M10" sqref="M10"/>
    </sheetView>
  </sheetViews>
  <sheetFormatPr defaultRowHeight="14.5" x14ac:dyDescent="0.35"/>
  <cols>
    <col min="1" max="1" width="12.453125" bestFit="1" customWidth="1"/>
    <col min="2" max="2" width="18.54296875" bestFit="1" customWidth="1"/>
  </cols>
  <sheetData>
    <row r="3" spans="1:2" x14ac:dyDescent="0.35">
      <c r="A3" s="11" t="s">
        <v>25</v>
      </c>
      <c r="B3" t="s">
        <v>31</v>
      </c>
    </row>
    <row r="4" spans="1:2" x14ac:dyDescent="0.35">
      <c r="A4" s="12" t="s">
        <v>32</v>
      </c>
      <c r="B4">
        <v>4559.7699999999995</v>
      </c>
    </row>
    <row r="5" spans="1:2" x14ac:dyDescent="0.35">
      <c r="A5" s="12" t="s">
        <v>33</v>
      </c>
      <c r="B5">
        <v>5899.86</v>
      </c>
    </row>
    <row r="6" spans="1:2" x14ac:dyDescent="0.35">
      <c r="A6" s="12" t="s">
        <v>34</v>
      </c>
      <c r="B6">
        <v>449.95</v>
      </c>
    </row>
    <row r="7" spans="1:2" x14ac:dyDescent="0.35">
      <c r="A7" s="12" t="s">
        <v>35</v>
      </c>
      <c r="B7">
        <v>359.94</v>
      </c>
    </row>
    <row r="8" spans="1:2" x14ac:dyDescent="0.35">
      <c r="A8" s="12" t="s">
        <v>36</v>
      </c>
      <c r="B8">
        <v>1239.92</v>
      </c>
    </row>
    <row r="9" spans="1:2" x14ac:dyDescent="0.35">
      <c r="A9" s="12" t="s">
        <v>37</v>
      </c>
      <c r="B9">
        <v>5129.8799999999992</v>
      </c>
    </row>
    <row r="10" spans="1:2" x14ac:dyDescent="0.35">
      <c r="A10" s="12" t="s">
        <v>38</v>
      </c>
      <c r="B10">
        <v>8909.83</v>
      </c>
    </row>
    <row r="11" spans="1:2" x14ac:dyDescent="0.35">
      <c r="A11" s="12" t="s">
        <v>39</v>
      </c>
      <c r="B11">
        <v>1099.94</v>
      </c>
    </row>
    <row r="12" spans="1:2" x14ac:dyDescent="0.35">
      <c r="A12" s="12" t="s">
        <v>40</v>
      </c>
      <c r="B12">
        <v>3479.92</v>
      </c>
    </row>
    <row r="13" spans="1:2" x14ac:dyDescent="0.35">
      <c r="A13" s="12" t="s">
        <v>41</v>
      </c>
      <c r="B13">
        <v>449.97</v>
      </c>
    </row>
    <row r="14" spans="1:2" x14ac:dyDescent="0.35">
      <c r="A14" s="12" t="s">
        <v>42</v>
      </c>
      <c r="B14">
        <v>2629.87</v>
      </c>
    </row>
    <row r="15" spans="1:2" x14ac:dyDescent="0.35">
      <c r="A15" s="12" t="s">
        <v>43</v>
      </c>
      <c r="B15">
        <v>2189.9</v>
      </c>
    </row>
    <row r="16" spans="1:2" x14ac:dyDescent="0.35">
      <c r="A16" s="12" t="s">
        <v>30</v>
      </c>
      <c r="B16">
        <v>36398.750000000007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C2ED-BA20-45CE-8F82-E44C786C8B58}">
  <dimension ref="B2:H5"/>
  <sheetViews>
    <sheetView showGridLines="0" zoomScale="70" zoomScaleNormal="70" workbookViewId="0">
      <selection activeCell="J11" sqref="J11"/>
    </sheetView>
  </sheetViews>
  <sheetFormatPr defaultRowHeight="14.5" x14ac:dyDescent="0.35"/>
  <cols>
    <col min="1" max="1" width="2.54296875" customWidth="1"/>
    <col min="2" max="2" width="29.7265625" customWidth="1"/>
    <col min="3" max="3" width="6.54296875" customWidth="1"/>
    <col min="4" max="4" width="29.26953125" customWidth="1"/>
    <col min="5" max="5" width="6.54296875" customWidth="1"/>
    <col min="6" max="6" width="29.81640625" customWidth="1"/>
    <col min="7" max="7" width="6.54296875" customWidth="1"/>
    <col min="8" max="8" width="31.453125" customWidth="1"/>
    <col min="9" max="9" width="0.453125" customWidth="1"/>
  </cols>
  <sheetData>
    <row r="2" spans="2:8" ht="39.5" x14ac:dyDescent="0.9">
      <c r="D2" s="17" t="s">
        <v>44</v>
      </c>
      <c r="E2" s="17"/>
      <c r="F2" s="18"/>
      <c r="G2" s="19"/>
      <c r="H2" s="13"/>
    </row>
    <row r="4" spans="2:8" ht="28.5" x14ac:dyDescent="0.65">
      <c r="B4" s="14" t="s">
        <v>45</v>
      </c>
      <c r="D4" s="14" t="s">
        <v>46</v>
      </c>
      <c r="F4" s="14" t="s">
        <v>47</v>
      </c>
      <c r="H4" s="14" t="s">
        <v>48</v>
      </c>
    </row>
    <row r="5" spans="2:8" ht="23.5" x14ac:dyDescent="0.55000000000000004">
      <c r="B5" s="15">
        <f>GETPIVOTDATA("Sum of Total_Amount",Sheet5!$A$3)</f>
        <v>36398.749999999993</v>
      </c>
      <c r="D5" s="16">
        <f>SUM(GETPIVOTDATA("Sum of Quantity",Sheet5!$A$3))</f>
        <v>125</v>
      </c>
      <c r="F5" s="16">
        <f>SUM(GETPIVOTDATA("Count of Customer_ID",Sheet5!$A$3))</f>
        <v>42</v>
      </c>
      <c r="H5" s="15">
        <f>GETPIVOTDATA("Sum of Total_Amount",Sheet5!$A$3)/GETPIVOTDATA("Count of Transaction_ID",Sheet5!$A$3)</f>
        <v>866.63690476190459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71EA-1AFD-4940-AA2E-3615D2A7A1EB}">
  <dimension ref="A3:E5"/>
  <sheetViews>
    <sheetView workbookViewId="0">
      <selection activeCell="D9" sqref="D9"/>
    </sheetView>
  </sheetViews>
  <sheetFormatPr defaultRowHeight="14.5" x14ac:dyDescent="0.35"/>
  <cols>
    <col min="1" max="1" width="12.453125" bestFit="1" customWidth="1"/>
    <col min="2" max="2" width="20.81640625" bestFit="1" customWidth="1"/>
    <col min="3" max="3" width="19.26953125" bestFit="1" customWidth="1"/>
    <col min="4" max="4" width="14.26953125" bestFit="1" customWidth="1"/>
    <col min="5" max="5" width="18.54296875" bestFit="1" customWidth="1"/>
  </cols>
  <sheetData>
    <row r="3" spans="1:5" x14ac:dyDescent="0.35">
      <c r="A3" s="11" t="s">
        <v>25</v>
      </c>
      <c r="B3" t="s">
        <v>49</v>
      </c>
      <c r="C3" t="s">
        <v>50</v>
      </c>
      <c r="D3" t="s">
        <v>51</v>
      </c>
      <c r="E3" t="s">
        <v>31</v>
      </c>
    </row>
    <row r="4" spans="1:5" x14ac:dyDescent="0.35">
      <c r="A4" s="12" t="s">
        <v>52</v>
      </c>
      <c r="B4">
        <v>42</v>
      </c>
      <c r="C4">
        <v>42</v>
      </c>
      <c r="D4">
        <v>125</v>
      </c>
      <c r="E4">
        <v>36398.749999999993</v>
      </c>
    </row>
    <row r="5" spans="1:5" x14ac:dyDescent="0.35">
      <c r="A5" s="12" t="s">
        <v>30</v>
      </c>
      <c r="B5">
        <v>42</v>
      </c>
      <c r="C5">
        <v>42</v>
      </c>
      <c r="D5">
        <v>125</v>
      </c>
      <c r="E5">
        <v>36398.749999999993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BD34-481E-4816-8D16-0834DA84ED4D}">
  <dimension ref="A1:P251"/>
  <sheetViews>
    <sheetView topLeftCell="A236" zoomScale="70" zoomScaleNormal="70" workbookViewId="0">
      <selection activeCell="D1" sqref="D1:N251"/>
    </sheetView>
  </sheetViews>
  <sheetFormatPr defaultRowHeight="14.5" x14ac:dyDescent="0.35"/>
  <cols>
    <col min="2" max="2" width="11.1796875" customWidth="1"/>
    <col min="4" max="4" width="8.81640625" customWidth="1"/>
    <col min="5" max="5" width="8.453125" customWidth="1"/>
    <col min="6" max="6" width="9" customWidth="1"/>
    <col min="9" max="9" width="9.453125" customWidth="1"/>
    <col min="12" max="12" width="9.26953125" customWidth="1"/>
    <col min="13" max="13" width="10.54296875" customWidth="1"/>
    <col min="14" max="14" width="12.81640625" customWidth="1"/>
    <col min="15" max="15" width="16.453125" customWidth="1"/>
    <col min="16" max="16" width="13.81640625" customWidth="1"/>
    <col min="17" max="17" width="12.453125" customWidth="1"/>
    <col min="18" max="18" width="13.81640625" customWidth="1"/>
    <col min="21" max="21" width="8.453125" customWidth="1"/>
  </cols>
  <sheetData>
    <row r="1" spans="1:16" ht="29" x14ac:dyDescent="0.35">
      <c r="A1" s="9" t="s">
        <v>53</v>
      </c>
      <c r="B1" s="9" t="s">
        <v>54</v>
      </c>
      <c r="C1" s="9" t="s">
        <v>55</v>
      </c>
      <c r="D1" s="9" t="s">
        <v>56</v>
      </c>
      <c r="E1" s="9" t="s">
        <v>57</v>
      </c>
      <c r="F1" s="9" t="s">
        <v>58</v>
      </c>
      <c r="G1" s="9" t="s">
        <v>59</v>
      </c>
      <c r="H1" s="9" t="s">
        <v>24</v>
      </c>
      <c r="I1" s="9" t="s">
        <v>60</v>
      </c>
      <c r="J1" s="9" t="s">
        <v>61</v>
      </c>
      <c r="K1" s="9" t="s">
        <v>62</v>
      </c>
      <c r="L1" s="9" t="s">
        <v>63</v>
      </c>
      <c r="M1" s="9" t="s">
        <v>64</v>
      </c>
      <c r="N1" s="9" t="s">
        <v>65</v>
      </c>
    </row>
    <row r="2" spans="1:16" ht="29.5" thickBot="1" x14ac:dyDescent="0.4">
      <c r="A2" s="1" t="s">
        <v>66</v>
      </c>
      <c r="B2" s="2">
        <v>45393</v>
      </c>
      <c r="C2" s="1" t="s">
        <v>67</v>
      </c>
      <c r="D2" s="1" t="s">
        <v>68</v>
      </c>
      <c r="E2" s="1" t="s">
        <v>69</v>
      </c>
      <c r="F2" s="1" t="s">
        <v>70</v>
      </c>
      <c r="G2" s="1" t="s">
        <v>28</v>
      </c>
      <c r="H2" s="3">
        <v>3</v>
      </c>
      <c r="I2" s="3">
        <v>249.99</v>
      </c>
      <c r="J2" s="1" t="s">
        <v>71</v>
      </c>
      <c r="K2" s="1" t="s">
        <v>72</v>
      </c>
      <c r="L2" s="1" t="s">
        <v>73</v>
      </c>
      <c r="M2" s="2">
        <v>44425</v>
      </c>
      <c r="N2" s="3">
        <v>749.97</v>
      </c>
      <c r="O2" s="4"/>
      <c r="P2" s="5"/>
    </row>
    <row r="3" spans="1:16" ht="29.5" thickBot="1" x14ac:dyDescent="0.4">
      <c r="A3" s="1" t="s">
        <v>74</v>
      </c>
      <c r="B3" s="2">
        <v>45396</v>
      </c>
      <c r="C3" s="1" t="s">
        <v>75</v>
      </c>
      <c r="D3" s="1" t="s">
        <v>76</v>
      </c>
      <c r="E3" s="1" t="s">
        <v>69</v>
      </c>
      <c r="F3" s="1" t="s">
        <v>70</v>
      </c>
      <c r="G3" s="1" t="s">
        <v>28</v>
      </c>
      <c r="H3" s="3">
        <v>3</v>
      </c>
      <c r="I3" s="3">
        <v>249.99</v>
      </c>
      <c r="J3" s="1" t="s">
        <v>77</v>
      </c>
      <c r="K3" s="1" t="s">
        <v>72</v>
      </c>
      <c r="L3" s="1" t="s">
        <v>78</v>
      </c>
      <c r="M3" s="2">
        <v>44575</v>
      </c>
      <c r="N3" s="3">
        <v>749.97</v>
      </c>
      <c r="O3" s="4"/>
      <c r="P3" s="5"/>
    </row>
    <row r="4" spans="1:16" ht="29.5" thickBot="1" x14ac:dyDescent="0.4">
      <c r="A4" s="1" t="s">
        <v>79</v>
      </c>
      <c r="B4" s="2">
        <v>45399</v>
      </c>
      <c r="C4" s="1" t="s">
        <v>80</v>
      </c>
      <c r="D4" s="1" t="s">
        <v>81</v>
      </c>
      <c r="E4" s="1" t="s">
        <v>82</v>
      </c>
      <c r="F4" s="1" t="s">
        <v>83</v>
      </c>
      <c r="G4" s="1" t="s">
        <v>27</v>
      </c>
      <c r="H4" s="3">
        <v>3</v>
      </c>
      <c r="I4" s="3">
        <v>59.99</v>
      </c>
      <c r="J4" s="1" t="s">
        <v>84</v>
      </c>
      <c r="K4" s="1" t="s">
        <v>52</v>
      </c>
      <c r="L4" s="1" t="s">
        <v>85</v>
      </c>
      <c r="M4" s="2">
        <v>45262</v>
      </c>
      <c r="N4" s="3">
        <v>179.97</v>
      </c>
      <c r="O4" s="4"/>
      <c r="P4" s="5"/>
    </row>
    <row r="5" spans="1:16" ht="29.5" thickBot="1" x14ac:dyDescent="0.4">
      <c r="A5" s="1" t="s">
        <v>86</v>
      </c>
      <c r="B5" s="2">
        <v>45400</v>
      </c>
      <c r="C5" s="1" t="s">
        <v>87</v>
      </c>
      <c r="D5" s="1" t="s">
        <v>88</v>
      </c>
      <c r="E5" s="1" t="s">
        <v>82</v>
      </c>
      <c r="F5" s="1" t="s">
        <v>83</v>
      </c>
      <c r="G5" s="1" t="s">
        <v>27</v>
      </c>
      <c r="H5" s="3">
        <v>3</v>
      </c>
      <c r="I5" s="3">
        <v>59.99</v>
      </c>
      <c r="J5" s="1" t="s">
        <v>71</v>
      </c>
      <c r="K5" s="1" t="s">
        <v>89</v>
      </c>
      <c r="L5" s="1" t="s">
        <v>78</v>
      </c>
      <c r="M5" s="2">
        <v>45114</v>
      </c>
      <c r="N5" s="3">
        <v>179.97</v>
      </c>
      <c r="O5" s="4"/>
      <c r="P5" s="5"/>
    </row>
    <row r="6" spans="1:16" ht="29.5" thickBot="1" x14ac:dyDescent="0.4">
      <c r="A6" s="1" t="s">
        <v>90</v>
      </c>
      <c r="B6" s="2">
        <v>45400</v>
      </c>
      <c r="C6" s="1" t="s">
        <v>91</v>
      </c>
      <c r="D6" s="1" t="s">
        <v>92</v>
      </c>
      <c r="E6" s="1" t="s">
        <v>93</v>
      </c>
      <c r="F6" s="1" t="s">
        <v>94</v>
      </c>
      <c r="G6" s="1" t="s">
        <v>29</v>
      </c>
      <c r="H6" s="3">
        <v>5</v>
      </c>
      <c r="I6" s="3">
        <v>149.99</v>
      </c>
      <c r="J6" s="1" t="s">
        <v>77</v>
      </c>
      <c r="K6" s="1" t="s">
        <v>89</v>
      </c>
      <c r="L6" s="1" t="s">
        <v>78</v>
      </c>
      <c r="M6" s="2">
        <v>45295</v>
      </c>
      <c r="N6" s="3">
        <v>749.95</v>
      </c>
      <c r="O6" s="4"/>
      <c r="P6" s="5"/>
    </row>
    <row r="7" spans="1:16" ht="29.5" thickBot="1" x14ac:dyDescent="0.4">
      <c r="A7" s="1" t="s">
        <v>95</v>
      </c>
      <c r="B7" s="2">
        <v>45403</v>
      </c>
      <c r="C7" s="1" t="s">
        <v>96</v>
      </c>
      <c r="D7" s="1" t="s">
        <v>97</v>
      </c>
      <c r="E7" s="1" t="s">
        <v>82</v>
      </c>
      <c r="F7" s="1" t="s">
        <v>83</v>
      </c>
      <c r="G7" s="1" t="s">
        <v>27</v>
      </c>
      <c r="H7" s="3">
        <v>2</v>
      </c>
      <c r="I7" s="3">
        <v>59.99</v>
      </c>
      <c r="J7" s="1" t="s">
        <v>71</v>
      </c>
      <c r="K7" s="1" t="s">
        <v>98</v>
      </c>
      <c r="L7" s="1" t="s">
        <v>85</v>
      </c>
      <c r="M7" s="2">
        <v>44746</v>
      </c>
      <c r="N7" s="3">
        <v>119.98</v>
      </c>
      <c r="O7" s="4"/>
      <c r="P7" s="5"/>
    </row>
    <row r="8" spans="1:16" ht="29.5" thickBot="1" x14ac:dyDescent="0.4">
      <c r="A8" s="1" t="s">
        <v>99</v>
      </c>
      <c r="B8" s="2">
        <v>45403</v>
      </c>
      <c r="C8" s="1" t="s">
        <v>96</v>
      </c>
      <c r="D8" s="1" t="s">
        <v>97</v>
      </c>
      <c r="E8" s="1" t="s">
        <v>100</v>
      </c>
      <c r="F8" s="1" t="s">
        <v>101</v>
      </c>
      <c r="G8" s="1" t="s">
        <v>28</v>
      </c>
      <c r="H8" s="3">
        <v>5</v>
      </c>
      <c r="I8" s="3">
        <v>149.99</v>
      </c>
      <c r="J8" s="1" t="s">
        <v>77</v>
      </c>
      <c r="K8" s="1" t="s">
        <v>72</v>
      </c>
      <c r="L8" s="1" t="s">
        <v>85</v>
      </c>
      <c r="M8" s="2">
        <v>44418</v>
      </c>
      <c r="N8" s="3">
        <v>749.95</v>
      </c>
      <c r="O8" s="4"/>
      <c r="P8" s="5"/>
    </row>
    <row r="9" spans="1:16" ht="29.5" thickBot="1" x14ac:dyDescent="0.4">
      <c r="A9" s="1" t="s">
        <v>102</v>
      </c>
      <c r="B9" s="2">
        <v>45403</v>
      </c>
      <c r="C9" s="1" t="s">
        <v>103</v>
      </c>
      <c r="D9" s="1" t="s">
        <v>104</v>
      </c>
      <c r="E9" s="1" t="s">
        <v>82</v>
      </c>
      <c r="F9" s="1" t="s">
        <v>83</v>
      </c>
      <c r="G9" s="1" t="s">
        <v>27</v>
      </c>
      <c r="H9" s="3">
        <v>3</v>
      </c>
      <c r="I9" s="3">
        <v>59.99</v>
      </c>
      <c r="J9" s="1" t="s">
        <v>105</v>
      </c>
      <c r="K9" s="1" t="s">
        <v>52</v>
      </c>
      <c r="L9" s="1" t="s">
        <v>73</v>
      </c>
      <c r="M9" s="2">
        <v>45007</v>
      </c>
      <c r="N9" s="3">
        <v>179.97</v>
      </c>
      <c r="O9" s="4"/>
      <c r="P9" s="5"/>
    </row>
    <row r="10" spans="1:16" ht="29.5" thickBot="1" x14ac:dyDescent="0.4">
      <c r="A10" s="1" t="s">
        <v>106</v>
      </c>
      <c r="B10" s="2">
        <v>45405</v>
      </c>
      <c r="C10" s="1" t="s">
        <v>107</v>
      </c>
      <c r="D10" s="1" t="s">
        <v>108</v>
      </c>
      <c r="E10" s="1" t="s">
        <v>109</v>
      </c>
      <c r="F10" s="1" t="s">
        <v>110</v>
      </c>
      <c r="G10" s="1" t="s">
        <v>28</v>
      </c>
      <c r="H10" s="3">
        <v>3</v>
      </c>
      <c r="I10" s="3">
        <v>899.99</v>
      </c>
      <c r="J10" s="1" t="s">
        <v>84</v>
      </c>
      <c r="K10" s="1" t="s">
        <v>111</v>
      </c>
      <c r="L10" s="1" t="s">
        <v>85</v>
      </c>
      <c r="M10" s="2">
        <v>45299</v>
      </c>
      <c r="N10" s="3">
        <v>2699.97</v>
      </c>
      <c r="O10" s="4"/>
      <c r="P10" s="5"/>
    </row>
    <row r="11" spans="1:16" ht="29.5" thickBot="1" x14ac:dyDescent="0.4">
      <c r="A11" s="1" t="s">
        <v>112</v>
      </c>
      <c r="B11" s="2">
        <v>45408</v>
      </c>
      <c r="C11" s="1" t="s">
        <v>113</v>
      </c>
      <c r="D11" s="1" t="s">
        <v>114</v>
      </c>
      <c r="E11" s="1" t="s">
        <v>82</v>
      </c>
      <c r="F11" s="1" t="s">
        <v>83</v>
      </c>
      <c r="G11" s="1" t="s">
        <v>27</v>
      </c>
      <c r="H11" s="3">
        <v>3</v>
      </c>
      <c r="I11" s="3">
        <v>59.99</v>
      </c>
      <c r="J11" s="1" t="s">
        <v>71</v>
      </c>
      <c r="K11" s="1" t="s">
        <v>98</v>
      </c>
      <c r="L11" s="1" t="s">
        <v>78</v>
      </c>
      <c r="M11" s="2">
        <v>45207</v>
      </c>
      <c r="N11" s="3">
        <v>179.97</v>
      </c>
      <c r="O11" s="4"/>
      <c r="P11" s="5"/>
    </row>
    <row r="12" spans="1:16" ht="29.5" thickBot="1" x14ac:dyDescent="0.4">
      <c r="A12" s="1" t="s">
        <v>115</v>
      </c>
      <c r="B12" s="2">
        <v>45408</v>
      </c>
      <c r="C12" s="1" t="s">
        <v>116</v>
      </c>
      <c r="D12" s="1" t="s">
        <v>117</v>
      </c>
      <c r="E12" s="1" t="s">
        <v>93</v>
      </c>
      <c r="F12" s="1" t="s">
        <v>94</v>
      </c>
      <c r="G12" s="1" t="s">
        <v>29</v>
      </c>
      <c r="H12" s="3">
        <v>1</v>
      </c>
      <c r="I12" s="3">
        <v>149.99</v>
      </c>
      <c r="J12" s="1" t="s">
        <v>77</v>
      </c>
      <c r="K12" s="1" t="s">
        <v>98</v>
      </c>
      <c r="L12" s="1" t="s">
        <v>85</v>
      </c>
      <c r="M12" s="2">
        <v>45103</v>
      </c>
      <c r="N12" s="3">
        <v>149.99</v>
      </c>
      <c r="O12" s="4"/>
      <c r="P12" s="5"/>
    </row>
    <row r="13" spans="1:16" ht="29.5" thickBot="1" x14ac:dyDescent="0.4">
      <c r="A13" s="1" t="s">
        <v>118</v>
      </c>
      <c r="B13" s="2">
        <v>45408</v>
      </c>
      <c r="C13" s="1" t="s">
        <v>87</v>
      </c>
      <c r="D13" s="1" t="s">
        <v>88</v>
      </c>
      <c r="E13" s="1" t="s">
        <v>93</v>
      </c>
      <c r="F13" s="1" t="s">
        <v>94</v>
      </c>
      <c r="G13" s="1" t="s">
        <v>29</v>
      </c>
      <c r="H13" s="3">
        <v>5</v>
      </c>
      <c r="I13" s="3">
        <v>149.99</v>
      </c>
      <c r="J13" s="1" t="s">
        <v>105</v>
      </c>
      <c r="K13" s="1" t="s">
        <v>89</v>
      </c>
      <c r="L13" s="1" t="s">
        <v>73</v>
      </c>
      <c r="M13" s="2">
        <v>44830</v>
      </c>
      <c r="N13" s="3">
        <v>749.95</v>
      </c>
      <c r="O13" s="4"/>
      <c r="P13" s="5"/>
    </row>
    <row r="14" spans="1:16" ht="44" thickBot="1" x14ac:dyDescent="0.4">
      <c r="A14" s="1" t="s">
        <v>119</v>
      </c>
      <c r="B14" s="2">
        <v>45408</v>
      </c>
      <c r="C14" s="1" t="s">
        <v>120</v>
      </c>
      <c r="D14" s="1" t="s">
        <v>121</v>
      </c>
      <c r="E14" s="1" t="s">
        <v>93</v>
      </c>
      <c r="F14" s="1" t="s">
        <v>94</v>
      </c>
      <c r="G14" s="1" t="s">
        <v>29</v>
      </c>
      <c r="H14" s="3">
        <v>3</v>
      </c>
      <c r="I14" s="3">
        <v>149.99</v>
      </c>
      <c r="J14" s="1" t="s">
        <v>71</v>
      </c>
      <c r="K14" s="1" t="s">
        <v>89</v>
      </c>
      <c r="L14" s="1" t="s">
        <v>78</v>
      </c>
      <c r="M14" s="2">
        <v>44806</v>
      </c>
      <c r="N14" s="3">
        <v>449.97</v>
      </c>
      <c r="O14" s="4"/>
      <c r="P14" s="5"/>
    </row>
    <row r="15" spans="1:16" ht="29.5" thickBot="1" x14ac:dyDescent="0.4">
      <c r="A15" s="1" t="s">
        <v>122</v>
      </c>
      <c r="B15" s="2">
        <v>45409</v>
      </c>
      <c r="C15" s="1" t="s">
        <v>123</v>
      </c>
      <c r="D15" s="1" t="s">
        <v>124</v>
      </c>
      <c r="E15" s="1" t="s">
        <v>82</v>
      </c>
      <c r="F15" s="1" t="s">
        <v>83</v>
      </c>
      <c r="G15" s="1" t="s">
        <v>27</v>
      </c>
      <c r="H15" s="3">
        <v>3</v>
      </c>
      <c r="I15" s="3">
        <v>59.99</v>
      </c>
      <c r="J15" s="1" t="s">
        <v>77</v>
      </c>
      <c r="K15" s="1" t="s">
        <v>89</v>
      </c>
      <c r="L15" s="1" t="s">
        <v>85</v>
      </c>
      <c r="M15" s="2">
        <v>45351</v>
      </c>
      <c r="N15" s="3">
        <v>179.97</v>
      </c>
      <c r="O15" s="4"/>
      <c r="P15" s="5"/>
    </row>
    <row r="16" spans="1:16" ht="29.5" thickBot="1" x14ac:dyDescent="0.4">
      <c r="A16" s="1" t="s">
        <v>125</v>
      </c>
      <c r="B16" s="2">
        <v>45409</v>
      </c>
      <c r="C16" s="1" t="s">
        <v>126</v>
      </c>
      <c r="D16" s="1" t="s">
        <v>127</v>
      </c>
      <c r="E16" s="1" t="s">
        <v>128</v>
      </c>
      <c r="F16" s="1" t="s">
        <v>129</v>
      </c>
      <c r="G16" s="1" t="s">
        <v>28</v>
      </c>
      <c r="H16" s="3">
        <v>3</v>
      </c>
      <c r="I16" s="3">
        <v>699.99</v>
      </c>
      <c r="J16" s="1" t="s">
        <v>77</v>
      </c>
      <c r="K16" s="1" t="s">
        <v>98</v>
      </c>
      <c r="L16" s="1" t="s">
        <v>73</v>
      </c>
      <c r="M16" s="2">
        <v>44577</v>
      </c>
      <c r="N16" s="3">
        <v>2099.9699999999998</v>
      </c>
      <c r="O16" s="4"/>
      <c r="P16" s="5"/>
    </row>
    <row r="17" spans="1:16" ht="29.5" thickBot="1" x14ac:dyDescent="0.4">
      <c r="A17" s="1" t="s">
        <v>130</v>
      </c>
      <c r="B17" s="2">
        <v>45409</v>
      </c>
      <c r="C17" s="1" t="s">
        <v>131</v>
      </c>
      <c r="D17" s="1" t="s">
        <v>132</v>
      </c>
      <c r="E17" s="1" t="s">
        <v>109</v>
      </c>
      <c r="F17" s="1" t="s">
        <v>110</v>
      </c>
      <c r="G17" s="1" t="s">
        <v>28</v>
      </c>
      <c r="H17" s="3">
        <v>1</v>
      </c>
      <c r="I17" s="3">
        <v>899.99</v>
      </c>
      <c r="J17" s="1" t="s">
        <v>105</v>
      </c>
      <c r="K17" s="1" t="s">
        <v>89</v>
      </c>
      <c r="L17" s="1" t="s">
        <v>85</v>
      </c>
      <c r="M17" s="2">
        <v>44920</v>
      </c>
      <c r="N17" s="3">
        <v>899.99</v>
      </c>
      <c r="O17" s="4"/>
      <c r="P17" s="5"/>
    </row>
    <row r="18" spans="1:16" ht="29.5" thickBot="1" x14ac:dyDescent="0.4">
      <c r="A18" s="1" t="s">
        <v>133</v>
      </c>
      <c r="B18" s="2">
        <v>45410</v>
      </c>
      <c r="C18" s="1" t="s">
        <v>134</v>
      </c>
      <c r="D18" s="1" t="s">
        <v>135</v>
      </c>
      <c r="E18" s="1" t="s">
        <v>93</v>
      </c>
      <c r="F18" s="1" t="s">
        <v>94</v>
      </c>
      <c r="G18" s="1" t="s">
        <v>29</v>
      </c>
      <c r="H18" s="3">
        <v>4</v>
      </c>
      <c r="I18" s="3">
        <v>149.99</v>
      </c>
      <c r="J18" s="1" t="s">
        <v>105</v>
      </c>
      <c r="K18" s="1" t="s">
        <v>89</v>
      </c>
      <c r="L18" s="1" t="s">
        <v>78</v>
      </c>
      <c r="M18" s="2">
        <v>45374</v>
      </c>
      <c r="N18" s="3">
        <v>599.96</v>
      </c>
      <c r="O18" s="4"/>
      <c r="P18" s="5"/>
    </row>
    <row r="19" spans="1:16" ht="29.5" thickBot="1" x14ac:dyDescent="0.4">
      <c r="A19" s="1" t="s">
        <v>136</v>
      </c>
      <c r="B19" s="2">
        <v>45410</v>
      </c>
      <c r="C19" s="1" t="s">
        <v>137</v>
      </c>
      <c r="D19" s="1" t="s">
        <v>138</v>
      </c>
      <c r="E19" s="1" t="s">
        <v>128</v>
      </c>
      <c r="F19" s="1" t="s">
        <v>129</v>
      </c>
      <c r="G19" s="1" t="s">
        <v>28</v>
      </c>
      <c r="H19" s="3">
        <v>2</v>
      </c>
      <c r="I19" s="3">
        <v>699.99</v>
      </c>
      <c r="J19" s="1" t="s">
        <v>71</v>
      </c>
      <c r="K19" s="1" t="s">
        <v>89</v>
      </c>
      <c r="L19" s="1" t="s">
        <v>73</v>
      </c>
      <c r="M19" s="2">
        <v>44781</v>
      </c>
      <c r="N19" s="3">
        <v>1399.98</v>
      </c>
      <c r="O19" s="4"/>
      <c r="P19" s="5"/>
    </row>
    <row r="20" spans="1:16" ht="29.5" thickBot="1" x14ac:dyDescent="0.4">
      <c r="A20" s="1" t="s">
        <v>139</v>
      </c>
      <c r="B20" s="2">
        <v>45410</v>
      </c>
      <c r="C20" s="1" t="s">
        <v>134</v>
      </c>
      <c r="D20" s="1" t="s">
        <v>135</v>
      </c>
      <c r="E20" s="1" t="s">
        <v>109</v>
      </c>
      <c r="F20" s="1" t="s">
        <v>110</v>
      </c>
      <c r="G20" s="1" t="s">
        <v>28</v>
      </c>
      <c r="H20" s="3">
        <v>4</v>
      </c>
      <c r="I20" s="3">
        <v>899.99</v>
      </c>
      <c r="J20" s="1" t="s">
        <v>77</v>
      </c>
      <c r="K20" s="1" t="s">
        <v>98</v>
      </c>
      <c r="L20" s="1" t="s">
        <v>85</v>
      </c>
      <c r="M20" s="2">
        <v>45327</v>
      </c>
      <c r="N20" s="3">
        <v>3599.96</v>
      </c>
      <c r="O20" s="4"/>
      <c r="P20" s="5"/>
    </row>
    <row r="21" spans="1:16" ht="29.5" thickBot="1" x14ac:dyDescent="0.4">
      <c r="A21" s="1" t="s">
        <v>140</v>
      </c>
      <c r="B21" s="2">
        <v>45410</v>
      </c>
      <c r="C21" s="1" t="s">
        <v>141</v>
      </c>
      <c r="D21" s="1" t="s">
        <v>142</v>
      </c>
      <c r="E21" s="1" t="s">
        <v>69</v>
      </c>
      <c r="F21" s="1" t="s">
        <v>70</v>
      </c>
      <c r="G21" s="1" t="s">
        <v>28</v>
      </c>
      <c r="H21" s="3">
        <v>3</v>
      </c>
      <c r="I21" s="3">
        <v>249.99</v>
      </c>
      <c r="J21" s="1" t="s">
        <v>77</v>
      </c>
      <c r="K21" s="1" t="s">
        <v>89</v>
      </c>
      <c r="L21" s="1" t="s">
        <v>78</v>
      </c>
      <c r="M21" s="2">
        <v>45224</v>
      </c>
      <c r="N21" s="3">
        <v>749.97</v>
      </c>
      <c r="O21" s="4"/>
      <c r="P21" s="5"/>
    </row>
    <row r="22" spans="1:16" ht="29.5" thickBot="1" x14ac:dyDescent="0.4">
      <c r="A22" s="1" t="s">
        <v>143</v>
      </c>
      <c r="B22" s="2">
        <v>45412</v>
      </c>
      <c r="C22" s="1" t="s">
        <v>144</v>
      </c>
      <c r="D22" s="1" t="s">
        <v>145</v>
      </c>
      <c r="E22" s="1" t="s">
        <v>128</v>
      </c>
      <c r="F22" s="1" t="s">
        <v>129</v>
      </c>
      <c r="G22" s="1" t="s">
        <v>28</v>
      </c>
      <c r="H22" s="3">
        <v>5</v>
      </c>
      <c r="I22" s="3">
        <v>699.99</v>
      </c>
      <c r="J22" s="1" t="s">
        <v>71</v>
      </c>
      <c r="K22" s="1" t="s">
        <v>98</v>
      </c>
      <c r="L22" s="1" t="s">
        <v>73</v>
      </c>
      <c r="M22" s="2">
        <v>45167</v>
      </c>
      <c r="N22" s="3">
        <v>3499.95</v>
      </c>
      <c r="O22" s="4"/>
      <c r="P22" s="5"/>
    </row>
    <row r="23" spans="1:16" ht="29.5" thickBot="1" x14ac:dyDescent="0.4">
      <c r="A23" s="1" t="s">
        <v>146</v>
      </c>
      <c r="B23" s="2">
        <v>45413</v>
      </c>
      <c r="C23" s="1" t="s">
        <v>147</v>
      </c>
      <c r="D23" s="1" t="s">
        <v>148</v>
      </c>
      <c r="E23" s="1" t="s">
        <v>128</v>
      </c>
      <c r="F23" s="1" t="s">
        <v>129</v>
      </c>
      <c r="G23" s="1" t="s">
        <v>28</v>
      </c>
      <c r="H23" s="3">
        <v>4</v>
      </c>
      <c r="I23" s="3">
        <v>699.99</v>
      </c>
      <c r="J23" s="1" t="s">
        <v>71</v>
      </c>
      <c r="K23" s="1" t="s">
        <v>111</v>
      </c>
      <c r="L23" s="1" t="s">
        <v>85</v>
      </c>
      <c r="M23" s="2">
        <v>44409</v>
      </c>
      <c r="N23" s="3">
        <v>2799.96</v>
      </c>
      <c r="O23" s="4"/>
      <c r="P23" s="5"/>
    </row>
    <row r="24" spans="1:16" ht="29.5" thickBot="1" x14ac:dyDescent="0.4">
      <c r="A24" s="1" t="s">
        <v>149</v>
      </c>
      <c r="B24" s="2">
        <v>45415</v>
      </c>
      <c r="C24" s="1" t="s">
        <v>150</v>
      </c>
      <c r="D24" s="1" t="s">
        <v>151</v>
      </c>
      <c r="E24" s="1" t="s">
        <v>69</v>
      </c>
      <c r="F24" s="1" t="s">
        <v>70</v>
      </c>
      <c r="G24" s="1" t="s">
        <v>28</v>
      </c>
      <c r="H24" s="3">
        <v>4</v>
      </c>
      <c r="I24" s="3">
        <v>249.99</v>
      </c>
      <c r="J24" s="1" t="s">
        <v>84</v>
      </c>
      <c r="K24" s="1" t="s">
        <v>89</v>
      </c>
      <c r="L24" s="1" t="s">
        <v>85</v>
      </c>
      <c r="M24" s="2">
        <v>44468</v>
      </c>
      <c r="N24" s="3">
        <v>999.96</v>
      </c>
      <c r="O24" s="4"/>
      <c r="P24" s="5"/>
    </row>
    <row r="25" spans="1:16" ht="29.5" thickBot="1" x14ac:dyDescent="0.4">
      <c r="A25" s="1" t="s">
        <v>152</v>
      </c>
      <c r="B25" s="2">
        <v>45416</v>
      </c>
      <c r="C25" s="1" t="s">
        <v>134</v>
      </c>
      <c r="D25" s="1" t="s">
        <v>135</v>
      </c>
      <c r="E25" s="1" t="s">
        <v>153</v>
      </c>
      <c r="F25" s="1" t="s">
        <v>154</v>
      </c>
      <c r="G25" s="1" t="s">
        <v>29</v>
      </c>
      <c r="H25" s="3">
        <v>4</v>
      </c>
      <c r="I25" s="3">
        <v>299.99</v>
      </c>
      <c r="J25" s="1" t="s">
        <v>71</v>
      </c>
      <c r="K25" s="1" t="s">
        <v>98</v>
      </c>
      <c r="L25" s="1" t="s">
        <v>78</v>
      </c>
      <c r="M25" s="2">
        <v>44716</v>
      </c>
      <c r="N25" s="3">
        <v>1199.96</v>
      </c>
      <c r="O25" s="4"/>
      <c r="P25" s="5"/>
    </row>
    <row r="26" spans="1:16" ht="29.5" thickBot="1" x14ac:dyDescent="0.4">
      <c r="A26" s="1" t="s">
        <v>155</v>
      </c>
      <c r="B26" s="2">
        <v>45422</v>
      </c>
      <c r="C26" s="1" t="s">
        <v>156</v>
      </c>
      <c r="D26" s="1" t="s">
        <v>157</v>
      </c>
      <c r="E26" s="1" t="s">
        <v>69</v>
      </c>
      <c r="F26" s="1" t="s">
        <v>70</v>
      </c>
      <c r="G26" s="1" t="s">
        <v>28</v>
      </c>
      <c r="H26" s="3">
        <v>5</v>
      </c>
      <c r="I26" s="3">
        <v>249.99</v>
      </c>
      <c r="J26" s="1" t="s">
        <v>77</v>
      </c>
      <c r="K26" s="1" t="s">
        <v>98</v>
      </c>
      <c r="L26" s="1" t="s">
        <v>85</v>
      </c>
      <c r="M26" s="2">
        <v>44525</v>
      </c>
      <c r="N26" s="3">
        <v>1249.95</v>
      </c>
      <c r="O26" s="4"/>
      <c r="P26" s="5"/>
    </row>
    <row r="27" spans="1:16" ht="29.5" thickBot="1" x14ac:dyDescent="0.4">
      <c r="A27" s="1" t="s">
        <v>158</v>
      </c>
      <c r="B27" s="2">
        <v>45424</v>
      </c>
      <c r="C27" s="1" t="s">
        <v>116</v>
      </c>
      <c r="D27" s="1" t="s">
        <v>117</v>
      </c>
      <c r="E27" s="1" t="s">
        <v>153</v>
      </c>
      <c r="F27" s="1" t="s">
        <v>154</v>
      </c>
      <c r="G27" s="1" t="s">
        <v>29</v>
      </c>
      <c r="H27" s="3">
        <v>5</v>
      </c>
      <c r="I27" s="3">
        <v>299.99</v>
      </c>
      <c r="J27" s="1" t="s">
        <v>84</v>
      </c>
      <c r="K27" s="1" t="s">
        <v>111</v>
      </c>
      <c r="L27" s="1" t="s">
        <v>73</v>
      </c>
      <c r="M27" s="2">
        <v>45168</v>
      </c>
      <c r="N27" s="3">
        <v>1499.95</v>
      </c>
      <c r="O27" s="4"/>
      <c r="P27" s="5"/>
    </row>
    <row r="28" spans="1:16" ht="29.5" thickBot="1" x14ac:dyDescent="0.4">
      <c r="A28" s="1" t="s">
        <v>159</v>
      </c>
      <c r="B28" s="2">
        <v>45424</v>
      </c>
      <c r="C28" s="1" t="s">
        <v>160</v>
      </c>
      <c r="D28" s="1" t="s">
        <v>161</v>
      </c>
      <c r="E28" s="1" t="s">
        <v>162</v>
      </c>
      <c r="F28" s="1" t="s">
        <v>163</v>
      </c>
      <c r="G28" s="1" t="s">
        <v>27</v>
      </c>
      <c r="H28" s="3">
        <v>3</v>
      </c>
      <c r="I28" s="3">
        <v>79.989999999999995</v>
      </c>
      <c r="J28" s="1" t="s">
        <v>84</v>
      </c>
      <c r="K28" s="1" t="s">
        <v>111</v>
      </c>
      <c r="L28" s="1" t="s">
        <v>78</v>
      </c>
      <c r="M28" s="2">
        <v>45012</v>
      </c>
      <c r="N28" s="3">
        <v>239.97</v>
      </c>
      <c r="O28" s="4"/>
      <c r="P28" s="5"/>
    </row>
    <row r="29" spans="1:16" ht="29.5" thickBot="1" x14ac:dyDescent="0.4">
      <c r="A29" s="1" t="s">
        <v>164</v>
      </c>
      <c r="B29" s="2">
        <v>45424</v>
      </c>
      <c r="C29" s="1" t="s">
        <v>147</v>
      </c>
      <c r="D29" s="1" t="s">
        <v>148</v>
      </c>
      <c r="E29" s="1" t="s">
        <v>165</v>
      </c>
      <c r="F29" s="1" t="s">
        <v>166</v>
      </c>
      <c r="G29" s="1" t="s">
        <v>28</v>
      </c>
      <c r="H29" s="3">
        <v>5</v>
      </c>
      <c r="I29" s="3">
        <v>89.99</v>
      </c>
      <c r="J29" s="1" t="s">
        <v>71</v>
      </c>
      <c r="K29" s="1" t="s">
        <v>89</v>
      </c>
      <c r="L29" s="1" t="s">
        <v>78</v>
      </c>
      <c r="M29" s="2">
        <v>44919</v>
      </c>
      <c r="N29" s="3">
        <v>449.95</v>
      </c>
      <c r="O29" s="4"/>
      <c r="P29" s="5"/>
    </row>
    <row r="30" spans="1:16" ht="29.5" thickBot="1" x14ac:dyDescent="0.4">
      <c r="A30" s="1" t="s">
        <v>167</v>
      </c>
      <c r="B30" s="2">
        <v>45425</v>
      </c>
      <c r="C30" s="1" t="s">
        <v>168</v>
      </c>
      <c r="D30" s="1" t="s">
        <v>169</v>
      </c>
      <c r="E30" s="1" t="s">
        <v>82</v>
      </c>
      <c r="F30" s="1" t="s">
        <v>83</v>
      </c>
      <c r="G30" s="1" t="s">
        <v>27</v>
      </c>
      <c r="H30" s="3">
        <v>2</v>
      </c>
      <c r="I30" s="3">
        <v>59.99</v>
      </c>
      <c r="J30" s="1" t="s">
        <v>105</v>
      </c>
      <c r="K30" s="1" t="s">
        <v>72</v>
      </c>
      <c r="L30" s="1" t="s">
        <v>85</v>
      </c>
      <c r="M30" s="2">
        <v>45214</v>
      </c>
      <c r="N30" s="3">
        <v>119.98</v>
      </c>
      <c r="O30" s="4"/>
      <c r="P30" s="5"/>
    </row>
    <row r="31" spans="1:16" ht="29.5" thickBot="1" x14ac:dyDescent="0.4">
      <c r="A31" s="1" t="s">
        <v>170</v>
      </c>
      <c r="B31" s="2">
        <v>45427</v>
      </c>
      <c r="C31" s="1" t="s">
        <v>171</v>
      </c>
      <c r="D31" s="1" t="s">
        <v>172</v>
      </c>
      <c r="E31" s="1" t="s">
        <v>82</v>
      </c>
      <c r="F31" s="1" t="s">
        <v>83</v>
      </c>
      <c r="G31" s="1" t="s">
        <v>27</v>
      </c>
      <c r="H31" s="3">
        <v>4</v>
      </c>
      <c r="I31" s="3">
        <v>59.99</v>
      </c>
      <c r="J31" s="1" t="s">
        <v>105</v>
      </c>
      <c r="K31" s="1" t="s">
        <v>111</v>
      </c>
      <c r="L31" s="1" t="s">
        <v>85</v>
      </c>
      <c r="M31" s="2">
        <v>44867</v>
      </c>
      <c r="N31" s="3">
        <v>239.96</v>
      </c>
      <c r="O31" s="4"/>
      <c r="P31" s="5"/>
    </row>
    <row r="32" spans="1:16" ht="29.5" thickBot="1" x14ac:dyDescent="0.4">
      <c r="A32" s="1" t="s">
        <v>173</v>
      </c>
      <c r="B32" s="2">
        <v>45427</v>
      </c>
      <c r="C32" s="1" t="s">
        <v>103</v>
      </c>
      <c r="D32" s="1" t="s">
        <v>104</v>
      </c>
      <c r="E32" s="1" t="s">
        <v>174</v>
      </c>
      <c r="F32" s="1" t="s">
        <v>175</v>
      </c>
      <c r="G32" s="1" t="s">
        <v>29</v>
      </c>
      <c r="H32" s="3">
        <v>5</v>
      </c>
      <c r="I32" s="3">
        <v>199.99</v>
      </c>
      <c r="J32" s="1" t="s">
        <v>71</v>
      </c>
      <c r="K32" s="1" t="s">
        <v>52</v>
      </c>
      <c r="L32" s="1" t="s">
        <v>85</v>
      </c>
      <c r="M32" s="2">
        <v>44412</v>
      </c>
      <c r="N32" s="3">
        <v>999.95</v>
      </c>
      <c r="O32" s="4"/>
      <c r="P32" s="5"/>
    </row>
    <row r="33" spans="1:16" ht="44" thickBot="1" x14ac:dyDescent="0.4">
      <c r="A33" s="1" t="s">
        <v>176</v>
      </c>
      <c r="B33" s="2">
        <v>45428</v>
      </c>
      <c r="C33" s="1" t="s">
        <v>177</v>
      </c>
      <c r="D33" s="1" t="s">
        <v>178</v>
      </c>
      <c r="E33" s="1" t="s">
        <v>93</v>
      </c>
      <c r="F33" s="1" t="s">
        <v>94</v>
      </c>
      <c r="G33" s="1" t="s">
        <v>29</v>
      </c>
      <c r="H33" s="3">
        <v>2</v>
      </c>
      <c r="I33" s="3">
        <v>149.99</v>
      </c>
      <c r="J33" s="1" t="s">
        <v>77</v>
      </c>
      <c r="K33" s="1" t="s">
        <v>98</v>
      </c>
      <c r="L33" s="1" t="s">
        <v>73</v>
      </c>
      <c r="M33" s="2">
        <v>44823</v>
      </c>
      <c r="N33" s="3">
        <v>299.98</v>
      </c>
      <c r="O33" s="4"/>
      <c r="P33" s="5"/>
    </row>
    <row r="34" spans="1:16" ht="29.5" thickBot="1" x14ac:dyDescent="0.4">
      <c r="A34" s="1" t="s">
        <v>179</v>
      </c>
      <c r="B34" s="2">
        <v>45430</v>
      </c>
      <c r="C34" s="1" t="s">
        <v>180</v>
      </c>
      <c r="D34" s="1" t="s">
        <v>181</v>
      </c>
      <c r="E34" s="1" t="s">
        <v>93</v>
      </c>
      <c r="F34" s="1" t="s">
        <v>94</v>
      </c>
      <c r="G34" s="1" t="s">
        <v>29</v>
      </c>
      <c r="H34" s="3">
        <v>3</v>
      </c>
      <c r="I34" s="3">
        <v>149.99</v>
      </c>
      <c r="J34" s="1" t="s">
        <v>77</v>
      </c>
      <c r="K34" s="1" t="s">
        <v>98</v>
      </c>
      <c r="L34" s="1" t="s">
        <v>78</v>
      </c>
      <c r="M34" s="2">
        <v>45068</v>
      </c>
      <c r="N34" s="3">
        <v>449.97</v>
      </c>
      <c r="O34" s="4"/>
      <c r="P34" s="5"/>
    </row>
    <row r="35" spans="1:16" ht="29.5" thickBot="1" x14ac:dyDescent="0.4">
      <c r="A35" s="1" t="s">
        <v>182</v>
      </c>
      <c r="B35" s="2">
        <v>45432</v>
      </c>
      <c r="C35" s="1" t="s">
        <v>80</v>
      </c>
      <c r="D35" s="1" t="s">
        <v>81</v>
      </c>
      <c r="E35" s="1" t="s">
        <v>109</v>
      </c>
      <c r="F35" s="1" t="s">
        <v>110</v>
      </c>
      <c r="G35" s="1" t="s">
        <v>28</v>
      </c>
      <c r="H35" s="3">
        <v>1</v>
      </c>
      <c r="I35" s="3">
        <v>899.99</v>
      </c>
      <c r="J35" s="1" t="s">
        <v>77</v>
      </c>
      <c r="K35" s="1" t="s">
        <v>98</v>
      </c>
      <c r="L35" s="1" t="s">
        <v>78</v>
      </c>
      <c r="M35" s="2">
        <v>44578</v>
      </c>
      <c r="N35" s="3">
        <v>899.99</v>
      </c>
      <c r="O35" s="4"/>
      <c r="P35" s="5"/>
    </row>
    <row r="36" spans="1:16" ht="29.5" thickBot="1" x14ac:dyDescent="0.4">
      <c r="A36" s="1" t="s">
        <v>183</v>
      </c>
      <c r="B36" s="2">
        <v>45434</v>
      </c>
      <c r="C36" s="1" t="s">
        <v>147</v>
      </c>
      <c r="D36" s="1" t="s">
        <v>148</v>
      </c>
      <c r="E36" s="1" t="s">
        <v>153</v>
      </c>
      <c r="F36" s="1" t="s">
        <v>154</v>
      </c>
      <c r="G36" s="1" t="s">
        <v>29</v>
      </c>
      <c r="H36" s="3">
        <v>3</v>
      </c>
      <c r="I36" s="3">
        <v>299.99</v>
      </c>
      <c r="J36" s="1" t="s">
        <v>77</v>
      </c>
      <c r="K36" s="1" t="s">
        <v>111</v>
      </c>
      <c r="L36" s="1" t="s">
        <v>73</v>
      </c>
      <c r="M36" s="2">
        <v>44824</v>
      </c>
      <c r="N36" s="3">
        <v>899.97</v>
      </c>
      <c r="O36" s="4"/>
      <c r="P36" s="5"/>
    </row>
    <row r="37" spans="1:16" ht="44" thickBot="1" x14ac:dyDescent="0.4">
      <c r="A37" s="1" t="s">
        <v>184</v>
      </c>
      <c r="B37" s="2">
        <v>45435</v>
      </c>
      <c r="C37" s="1" t="s">
        <v>177</v>
      </c>
      <c r="D37" s="1" t="s">
        <v>178</v>
      </c>
      <c r="E37" s="1" t="s">
        <v>162</v>
      </c>
      <c r="F37" s="1" t="s">
        <v>163</v>
      </c>
      <c r="G37" s="1" t="s">
        <v>27</v>
      </c>
      <c r="H37" s="3">
        <v>3</v>
      </c>
      <c r="I37" s="3">
        <v>79.989999999999995</v>
      </c>
      <c r="J37" s="1" t="s">
        <v>71</v>
      </c>
      <c r="K37" s="1" t="s">
        <v>52</v>
      </c>
      <c r="L37" s="1" t="s">
        <v>73</v>
      </c>
      <c r="M37" s="2">
        <v>45046</v>
      </c>
      <c r="N37" s="3">
        <v>239.97</v>
      </c>
      <c r="O37" s="4"/>
      <c r="P37" s="5"/>
    </row>
    <row r="38" spans="1:16" ht="29.5" thickBot="1" x14ac:dyDescent="0.4">
      <c r="A38" s="1" t="s">
        <v>185</v>
      </c>
      <c r="B38" s="2">
        <v>45438</v>
      </c>
      <c r="C38" s="1" t="s">
        <v>186</v>
      </c>
      <c r="D38" s="1" t="s">
        <v>187</v>
      </c>
      <c r="E38" s="1" t="s">
        <v>174</v>
      </c>
      <c r="F38" s="1" t="s">
        <v>175</v>
      </c>
      <c r="G38" s="1" t="s">
        <v>29</v>
      </c>
      <c r="H38" s="3">
        <v>3</v>
      </c>
      <c r="I38" s="3">
        <v>199.99</v>
      </c>
      <c r="J38" s="1" t="s">
        <v>77</v>
      </c>
      <c r="K38" s="1" t="s">
        <v>89</v>
      </c>
      <c r="L38" s="1" t="s">
        <v>78</v>
      </c>
      <c r="M38" s="2">
        <v>45292</v>
      </c>
      <c r="N38" s="3">
        <v>599.97</v>
      </c>
      <c r="O38" s="4"/>
      <c r="P38" s="5"/>
    </row>
    <row r="39" spans="1:16" ht="29.5" thickBot="1" x14ac:dyDescent="0.4">
      <c r="A39" s="1" t="s">
        <v>188</v>
      </c>
      <c r="B39" s="2">
        <v>45440</v>
      </c>
      <c r="C39" s="1" t="s">
        <v>189</v>
      </c>
      <c r="D39" s="1" t="s">
        <v>190</v>
      </c>
      <c r="E39" s="1" t="s">
        <v>128</v>
      </c>
      <c r="F39" s="1" t="s">
        <v>129</v>
      </c>
      <c r="G39" s="1" t="s">
        <v>28</v>
      </c>
      <c r="H39" s="3">
        <v>5</v>
      </c>
      <c r="I39" s="3">
        <v>699.99</v>
      </c>
      <c r="J39" s="1" t="s">
        <v>84</v>
      </c>
      <c r="K39" s="1" t="s">
        <v>98</v>
      </c>
      <c r="L39" s="1" t="s">
        <v>85</v>
      </c>
      <c r="M39" s="2">
        <v>44407</v>
      </c>
      <c r="N39" s="3">
        <v>3499.95</v>
      </c>
      <c r="O39" s="4"/>
      <c r="P39" s="5"/>
    </row>
    <row r="40" spans="1:16" ht="29.5" thickBot="1" x14ac:dyDescent="0.4">
      <c r="A40" s="1" t="s">
        <v>191</v>
      </c>
      <c r="B40" s="2">
        <v>45441</v>
      </c>
      <c r="C40" s="1" t="s">
        <v>192</v>
      </c>
      <c r="D40" s="1" t="s">
        <v>193</v>
      </c>
      <c r="E40" s="1" t="s">
        <v>165</v>
      </c>
      <c r="F40" s="1" t="s">
        <v>166</v>
      </c>
      <c r="G40" s="1" t="s">
        <v>28</v>
      </c>
      <c r="H40" s="3">
        <v>3</v>
      </c>
      <c r="I40" s="3">
        <v>89.99</v>
      </c>
      <c r="J40" s="1" t="s">
        <v>84</v>
      </c>
      <c r="K40" s="1" t="s">
        <v>72</v>
      </c>
      <c r="L40" s="1" t="s">
        <v>78</v>
      </c>
      <c r="M40" s="2">
        <v>45120</v>
      </c>
      <c r="N40" s="3">
        <v>269.97000000000003</v>
      </c>
      <c r="O40" s="4"/>
      <c r="P40" s="5"/>
    </row>
    <row r="41" spans="1:16" ht="29.5" thickBot="1" x14ac:dyDescent="0.4">
      <c r="A41" s="1" t="s">
        <v>194</v>
      </c>
      <c r="B41" s="2">
        <v>45443</v>
      </c>
      <c r="C41" s="1" t="s">
        <v>195</v>
      </c>
      <c r="D41" s="1" t="s">
        <v>196</v>
      </c>
      <c r="E41" s="1" t="s">
        <v>162</v>
      </c>
      <c r="F41" s="1" t="s">
        <v>163</v>
      </c>
      <c r="G41" s="1" t="s">
        <v>27</v>
      </c>
      <c r="H41" s="3">
        <v>1</v>
      </c>
      <c r="I41" s="3">
        <v>79.989999999999995</v>
      </c>
      <c r="J41" s="1" t="s">
        <v>71</v>
      </c>
      <c r="K41" s="1" t="s">
        <v>89</v>
      </c>
      <c r="L41" s="1" t="s">
        <v>85</v>
      </c>
      <c r="M41" s="2">
        <v>44917</v>
      </c>
      <c r="N41" s="3">
        <v>79.989999999999995</v>
      </c>
      <c r="O41" s="4"/>
      <c r="P41" s="5"/>
    </row>
    <row r="42" spans="1:16" ht="29.5" thickBot="1" x14ac:dyDescent="0.4">
      <c r="A42" s="1" t="s">
        <v>197</v>
      </c>
      <c r="B42" s="2">
        <v>45444</v>
      </c>
      <c r="C42" s="1" t="s">
        <v>198</v>
      </c>
      <c r="D42" s="1" t="s">
        <v>199</v>
      </c>
      <c r="E42" s="1" t="s">
        <v>82</v>
      </c>
      <c r="F42" s="1" t="s">
        <v>83</v>
      </c>
      <c r="G42" s="1" t="s">
        <v>27</v>
      </c>
      <c r="H42" s="3">
        <v>2</v>
      </c>
      <c r="I42" s="3">
        <v>59.99</v>
      </c>
      <c r="J42" s="1" t="s">
        <v>71</v>
      </c>
      <c r="K42" s="1" t="s">
        <v>98</v>
      </c>
      <c r="L42" s="1" t="s">
        <v>73</v>
      </c>
      <c r="M42" s="2">
        <v>45390</v>
      </c>
      <c r="N42" s="3">
        <v>119.98</v>
      </c>
      <c r="O42" s="4"/>
      <c r="P42" s="5"/>
    </row>
    <row r="43" spans="1:16" ht="29.5" thickBot="1" x14ac:dyDescent="0.4">
      <c r="A43" s="1" t="s">
        <v>200</v>
      </c>
      <c r="B43" s="2">
        <v>45444</v>
      </c>
      <c r="C43" s="1" t="s">
        <v>103</v>
      </c>
      <c r="D43" s="1" t="s">
        <v>104</v>
      </c>
      <c r="E43" s="1" t="s">
        <v>165</v>
      </c>
      <c r="F43" s="1" t="s">
        <v>166</v>
      </c>
      <c r="G43" s="1" t="s">
        <v>28</v>
      </c>
      <c r="H43" s="3">
        <v>1</v>
      </c>
      <c r="I43" s="3">
        <v>89.99</v>
      </c>
      <c r="J43" s="1" t="s">
        <v>71</v>
      </c>
      <c r="K43" s="1" t="s">
        <v>89</v>
      </c>
      <c r="L43" s="1" t="s">
        <v>73</v>
      </c>
      <c r="M43" s="2">
        <v>45141</v>
      </c>
      <c r="N43" s="3">
        <v>89.99</v>
      </c>
      <c r="O43" s="4"/>
      <c r="P43" s="5"/>
    </row>
    <row r="44" spans="1:16" ht="29.5" thickBot="1" x14ac:dyDescent="0.4">
      <c r="A44" s="1" t="s">
        <v>201</v>
      </c>
      <c r="B44" s="2">
        <v>45446</v>
      </c>
      <c r="C44" s="1" t="s">
        <v>202</v>
      </c>
      <c r="D44" s="1" t="s">
        <v>203</v>
      </c>
      <c r="E44" s="1" t="s">
        <v>165</v>
      </c>
      <c r="F44" s="1" t="s">
        <v>166</v>
      </c>
      <c r="G44" s="1" t="s">
        <v>28</v>
      </c>
      <c r="H44" s="3">
        <v>5</v>
      </c>
      <c r="I44" s="3">
        <v>89.99</v>
      </c>
      <c r="J44" s="1" t="s">
        <v>77</v>
      </c>
      <c r="K44" s="1" t="s">
        <v>111</v>
      </c>
      <c r="L44" s="1" t="s">
        <v>85</v>
      </c>
      <c r="M44" s="2">
        <v>44587</v>
      </c>
      <c r="N44" s="3">
        <v>449.95</v>
      </c>
      <c r="O44" s="4"/>
      <c r="P44" s="5"/>
    </row>
    <row r="45" spans="1:16" ht="29.5" thickBot="1" x14ac:dyDescent="0.4">
      <c r="A45" s="1" t="s">
        <v>204</v>
      </c>
      <c r="B45" s="2">
        <v>45449</v>
      </c>
      <c r="C45" s="1" t="s">
        <v>75</v>
      </c>
      <c r="D45" s="1" t="s">
        <v>76</v>
      </c>
      <c r="E45" s="1" t="s">
        <v>69</v>
      </c>
      <c r="F45" s="1" t="s">
        <v>70</v>
      </c>
      <c r="G45" s="1" t="s">
        <v>28</v>
      </c>
      <c r="H45" s="3">
        <v>5</v>
      </c>
      <c r="I45" s="3">
        <v>249.99</v>
      </c>
      <c r="J45" s="1" t="s">
        <v>77</v>
      </c>
      <c r="K45" s="1" t="s">
        <v>111</v>
      </c>
      <c r="L45" s="1" t="s">
        <v>85</v>
      </c>
      <c r="M45" s="2">
        <v>44707</v>
      </c>
      <c r="N45" s="3">
        <v>1249.95</v>
      </c>
      <c r="O45" s="4"/>
      <c r="P45" s="5"/>
    </row>
    <row r="46" spans="1:16" ht="29.5" thickBot="1" x14ac:dyDescent="0.4">
      <c r="A46" s="1" t="s">
        <v>205</v>
      </c>
      <c r="B46" s="2">
        <v>45449</v>
      </c>
      <c r="C46" s="1" t="s">
        <v>206</v>
      </c>
      <c r="D46" s="1" t="s">
        <v>207</v>
      </c>
      <c r="E46" s="1" t="s">
        <v>165</v>
      </c>
      <c r="F46" s="1" t="s">
        <v>166</v>
      </c>
      <c r="G46" s="1" t="s">
        <v>28</v>
      </c>
      <c r="H46" s="3">
        <v>1</v>
      </c>
      <c r="I46" s="3">
        <v>89.99</v>
      </c>
      <c r="J46" s="1" t="s">
        <v>77</v>
      </c>
      <c r="K46" s="1" t="s">
        <v>52</v>
      </c>
      <c r="L46" s="1" t="s">
        <v>85</v>
      </c>
      <c r="M46" s="2">
        <v>44582</v>
      </c>
      <c r="N46" s="3">
        <v>89.99</v>
      </c>
      <c r="O46" s="4"/>
      <c r="P46" s="5"/>
    </row>
    <row r="47" spans="1:16" ht="29.5" thickBot="1" x14ac:dyDescent="0.4">
      <c r="A47" s="1" t="s">
        <v>208</v>
      </c>
      <c r="B47" s="2">
        <v>45450</v>
      </c>
      <c r="C47" s="1" t="s">
        <v>91</v>
      </c>
      <c r="D47" s="1" t="s">
        <v>92</v>
      </c>
      <c r="E47" s="1" t="s">
        <v>93</v>
      </c>
      <c r="F47" s="1" t="s">
        <v>94</v>
      </c>
      <c r="G47" s="1" t="s">
        <v>29</v>
      </c>
      <c r="H47" s="3">
        <v>2</v>
      </c>
      <c r="I47" s="3">
        <v>149.99</v>
      </c>
      <c r="J47" s="1" t="s">
        <v>71</v>
      </c>
      <c r="K47" s="1" t="s">
        <v>111</v>
      </c>
      <c r="L47" s="1" t="s">
        <v>78</v>
      </c>
      <c r="M47" s="2">
        <v>44645</v>
      </c>
      <c r="N47" s="3">
        <v>299.98</v>
      </c>
      <c r="O47" s="4"/>
      <c r="P47" s="5"/>
    </row>
    <row r="48" spans="1:16" ht="29.5" thickBot="1" x14ac:dyDescent="0.4">
      <c r="A48" s="1" t="s">
        <v>209</v>
      </c>
      <c r="B48" s="2">
        <v>45452</v>
      </c>
      <c r="C48" s="1" t="s">
        <v>210</v>
      </c>
      <c r="D48" s="1" t="s">
        <v>211</v>
      </c>
      <c r="E48" s="1" t="s">
        <v>82</v>
      </c>
      <c r="F48" s="1" t="s">
        <v>83</v>
      </c>
      <c r="G48" s="1" t="s">
        <v>27</v>
      </c>
      <c r="H48" s="3">
        <v>4</v>
      </c>
      <c r="I48" s="3">
        <v>59.99</v>
      </c>
      <c r="J48" s="1" t="s">
        <v>71</v>
      </c>
      <c r="K48" s="1" t="s">
        <v>111</v>
      </c>
      <c r="L48" s="1" t="s">
        <v>85</v>
      </c>
      <c r="M48" s="2">
        <v>44435</v>
      </c>
      <c r="N48" s="3">
        <v>239.96</v>
      </c>
      <c r="O48" s="4"/>
      <c r="P48" s="5"/>
    </row>
    <row r="49" spans="1:16" ht="44" thickBot="1" x14ac:dyDescent="0.4">
      <c r="A49" s="1" t="s">
        <v>212</v>
      </c>
      <c r="B49" s="2">
        <v>45456</v>
      </c>
      <c r="C49" s="1" t="s">
        <v>177</v>
      </c>
      <c r="D49" s="1" t="s">
        <v>178</v>
      </c>
      <c r="E49" s="1" t="s">
        <v>165</v>
      </c>
      <c r="F49" s="1" t="s">
        <v>166</v>
      </c>
      <c r="G49" s="1" t="s">
        <v>28</v>
      </c>
      <c r="H49" s="3">
        <v>5</v>
      </c>
      <c r="I49" s="3">
        <v>89.99</v>
      </c>
      <c r="J49" s="1" t="s">
        <v>71</v>
      </c>
      <c r="K49" s="1" t="s">
        <v>72</v>
      </c>
      <c r="L49" s="1" t="s">
        <v>78</v>
      </c>
      <c r="M49" s="2">
        <v>44579</v>
      </c>
      <c r="N49" s="3">
        <v>449.95</v>
      </c>
      <c r="O49" s="4"/>
      <c r="P49" s="5"/>
    </row>
    <row r="50" spans="1:16" ht="29.5" thickBot="1" x14ac:dyDescent="0.4">
      <c r="A50" s="1" t="s">
        <v>213</v>
      </c>
      <c r="B50" s="2">
        <v>45459</v>
      </c>
      <c r="C50" s="1" t="s">
        <v>147</v>
      </c>
      <c r="D50" s="1" t="s">
        <v>148</v>
      </c>
      <c r="E50" s="1" t="s">
        <v>165</v>
      </c>
      <c r="F50" s="1" t="s">
        <v>166</v>
      </c>
      <c r="G50" s="1" t="s">
        <v>28</v>
      </c>
      <c r="H50" s="3">
        <v>2</v>
      </c>
      <c r="I50" s="3">
        <v>89.99</v>
      </c>
      <c r="J50" s="1" t="s">
        <v>77</v>
      </c>
      <c r="K50" s="1" t="s">
        <v>52</v>
      </c>
      <c r="L50" s="1" t="s">
        <v>78</v>
      </c>
      <c r="M50" s="2">
        <v>44471</v>
      </c>
      <c r="N50" s="3">
        <v>179.98</v>
      </c>
      <c r="O50" s="4"/>
      <c r="P50" s="5"/>
    </row>
    <row r="51" spans="1:16" ht="29.5" thickBot="1" x14ac:dyDescent="0.4">
      <c r="A51" s="1" t="s">
        <v>214</v>
      </c>
      <c r="B51" s="2">
        <v>45459</v>
      </c>
      <c r="C51" s="1" t="s">
        <v>67</v>
      </c>
      <c r="D51" s="1" t="s">
        <v>68</v>
      </c>
      <c r="E51" s="1" t="s">
        <v>109</v>
      </c>
      <c r="F51" s="1" t="s">
        <v>110</v>
      </c>
      <c r="G51" s="1" t="s">
        <v>28</v>
      </c>
      <c r="H51" s="3">
        <v>5</v>
      </c>
      <c r="I51" s="3">
        <v>899.99</v>
      </c>
      <c r="J51" s="1" t="s">
        <v>77</v>
      </c>
      <c r="K51" s="1" t="s">
        <v>52</v>
      </c>
      <c r="L51" s="1" t="s">
        <v>85</v>
      </c>
      <c r="M51" s="2">
        <v>44974</v>
      </c>
      <c r="N51" s="3">
        <v>4499.95</v>
      </c>
      <c r="O51" s="4"/>
      <c r="P51" s="5"/>
    </row>
    <row r="52" spans="1:16" ht="29.5" thickBot="1" x14ac:dyDescent="0.4">
      <c r="A52" s="1" t="s">
        <v>215</v>
      </c>
      <c r="B52" s="2">
        <v>45459</v>
      </c>
      <c r="C52" s="1" t="s">
        <v>171</v>
      </c>
      <c r="D52" s="1" t="s">
        <v>172</v>
      </c>
      <c r="E52" s="1" t="s">
        <v>109</v>
      </c>
      <c r="F52" s="1" t="s">
        <v>110</v>
      </c>
      <c r="G52" s="1" t="s">
        <v>28</v>
      </c>
      <c r="H52" s="3">
        <v>5</v>
      </c>
      <c r="I52" s="3">
        <v>899.99</v>
      </c>
      <c r="J52" s="1" t="s">
        <v>84</v>
      </c>
      <c r="K52" s="1" t="s">
        <v>111</v>
      </c>
      <c r="L52" s="1" t="s">
        <v>78</v>
      </c>
      <c r="M52" s="2">
        <v>45278</v>
      </c>
      <c r="N52" s="3">
        <v>4499.95</v>
      </c>
      <c r="O52" s="4"/>
      <c r="P52" s="5"/>
    </row>
    <row r="53" spans="1:16" ht="29.5" thickBot="1" x14ac:dyDescent="0.4">
      <c r="A53" s="1" t="s">
        <v>216</v>
      </c>
      <c r="B53" s="2">
        <v>45460</v>
      </c>
      <c r="C53" s="1" t="s">
        <v>206</v>
      </c>
      <c r="D53" s="1" t="s">
        <v>207</v>
      </c>
      <c r="E53" s="1" t="s">
        <v>82</v>
      </c>
      <c r="F53" s="1" t="s">
        <v>83</v>
      </c>
      <c r="G53" s="1" t="s">
        <v>27</v>
      </c>
      <c r="H53" s="3">
        <v>1</v>
      </c>
      <c r="I53" s="3">
        <v>59.99</v>
      </c>
      <c r="J53" s="1" t="s">
        <v>105</v>
      </c>
      <c r="K53" s="1" t="s">
        <v>98</v>
      </c>
      <c r="L53" s="1" t="s">
        <v>78</v>
      </c>
      <c r="M53" s="2">
        <v>45190</v>
      </c>
      <c r="N53" s="3">
        <v>59.99</v>
      </c>
      <c r="O53" s="4"/>
      <c r="P53" s="5"/>
    </row>
    <row r="54" spans="1:16" ht="29.5" thickBot="1" x14ac:dyDescent="0.4">
      <c r="A54" s="1" t="s">
        <v>217</v>
      </c>
      <c r="B54" s="2">
        <v>45460</v>
      </c>
      <c r="C54" s="1" t="s">
        <v>189</v>
      </c>
      <c r="D54" s="1" t="s">
        <v>190</v>
      </c>
      <c r="E54" s="1" t="s">
        <v>153</v>
      </c>
      <c r="F54" s="1" t="s">
        <v>154</v>
      </c>
      <c r="G54" s="1" t="s">
        <v>29</v>
      </c>
      <c r="H54" s="3">
        <v>2</v>
      </c>
      <c r="I54" s="3">
        <v>299.99</v>
      </c>
      <c r="J54" s="1" t="s">
        <v>105</v>
      </c>
      <c r="K54" s="1" t="s">
        <v>111</v>
      </c>
      <c r="L54" s="1" t="s">
        <v>85</v>
      </c>
      <c r="M54" s="2">
        <v>45253</v>
      </c>
      <c r="N54" s="3">
        <v>599.98</v>
      </c>
      <c r="O54" s="4"/>
      <c r="P54" s="5"/>
    </row>
    <row r="55" spans="1:16" ht="29.5" thickBot="1" x14ac:dyDescent="0.4">
      <c r="A55" s="1" t="s">
        <v>218</v>
      </c>
      <c r="B55" s="2">
        <v>45468</v>
      </c>
      <c r="C55" s="1" t="s">
        <v>219</v>
      </c>
      <c r="D55" s="1" t="s">
        <v>220</v>
      </c>
      <c r="E55" s="1" t="s">
        <v>165</v>
      </c>
      <c r="F55" s="1" t="s">
        <v>166</v>
      </c>
      <c r="G55" s="1" t="s">
        <v>28</v>
      </c>
      <c r="H55" s="3">
        <v>4</v>
      </c>
      <c r="I55" s="3">
        <v>89.99</v>
      </c>
      <c r="J55" s="1" t="s">
        <v>105</v>
      </c>
      <c r="K55" s="1" t="s">
        <v>52</v>
      </c>
      <c r="L55" s="1" t="s">
        <v>73</v>
      </c>
      <c r="M55" s="2">
        <v>45281</v>
      </c>
      <c r="N55" s="3">
        <v>359.96</v>
      </c>
      <c r="O55" s="4"/>
      <c r="P55" s="5"/>
    </row>
    <row r="56" spans="1:16" ht="29.5" thickBot="1" x14ac:dyDescent="0.4">
      <c r="A56" s="1" t="s">
        <v>221</v>
      </c>
      <c r="B56" s="2">
        <v>45469</v>
      </c>
      <c r="C56" s="1" t="s">
        <v>80</v>
      </c>
      <c r="D56" s="1" t="s">
        <v>81</v>
      </c>
      <c r="E56" s="1" t="s">
        <v>162</v>
      </c>
      <c r="F56" s="1" t="s">
        <v>163</v>
      </c>
      <c r="G56" s="1" t="s">
        <v>27</v>
      </c>
      <c r="H56" s="3">
        <v>1</v>
      </c>
      <c r="I56" s="3">
        <v>79.989999999999995</v>
      </c>
      <c r="J56" s="1" t="s">
        <v>84</v>
      </c>
      <c r="K56" s="1" t="s">
        <v>72</v>
      </c>
      <c r="L56" s="1" t="s">
        <v>78</v>
      </c>
      <c r="M56" s="2">
        <v>45352</v>
      </c>
      <c r="N56" s="3">
        <v>79.989999999999995</v>
      </c>
      <c r="O56" s="4"/>
      <c r="P56" s="5"/>
    </row>
    <row r="57" spans="1:16" ht="29.5" thickBot="1" x14ac:dyDescent="0.4">
      <c r="A57" s="1" t="s">
        <v>222</v>
      </c>
      <c r="B57" s="2">
        <v>45469</v>
      </c>
      <c r="C57" s="1" t="s">
        <v>107</v>
      </c>
      <c r="D57" s="1" t="s">
        <v>108</v>
      </c>
      <c r="E57" s="1" t="s">
        <v>165</v>
      </c>
      <c r="F57" s="1" t="s">
        <v>166</v>
      </c>
      <c r="G57" s="1" t="s">
        <v>28</v>
      </c>
      <c r="H57" s="3">
        <v>2</v>
      </c>
      <c r="I57" s="3">
        <v>89.99</v>
      </c>
      <c r="J57" s="1" t="s">
        <v>71</v>
      </c>
      <c r="K57" s="1" t="s">
        <v>98</v>
      </c>
      <c r="L57" s="1" t="s">
        <v>73</v>
      </c>
      <c r="M57" s="2">
        <v>44438</v>
      </c>
      <c r="N57" s="3">
        <v>179.98</v>
      </c>
      <c r="O57" s="4"/>
      <c r="P57" s="5"/>
    </row>
    <row r="58" spans="1:16" ht="29.5" thickBot="1" x14ac:dyDescent="0.4">
      <c r="A58" s="1" t="s">
        <v>223</v>
      </c>
      <c r="B58" s="2">
        <v>45471</v>
      </c>
      <c r="C58" s="1" t="s">
        <v>87</v>
      </c>
      <c r="D58" s="1" t="s">
        <v>88</v>
      </c>
      <c r="E58" s="1" t="s">
        <v>128</v>
      </c>
      <c r="F58" s="1" t="s">
        <v>129</v>
      </c>
      <c r="G58" s="1" t="s">
        <v>28</v>
      </c>
      <c r="H58" s="3">
        <v>3</v>
      </c>
      <c r="I58" s="3">
        <v>699.99</v>
      </c>
      <c r="J58" s="1" t="s">
        <v>77</v>
      </c>
      <c r="K58" s="1" t="s">
        <v>111</v>
      </c>
      <c r="L58" s="1" t="s">
        <v>78</v>
      </c>
      <c r="M58" s="2">
        <v>45102</v>
      </c>
      <c r="N58" s="3">
        <v>2099.9699999999998</v>
      </c>
      <c r="O58" s="4"/>
      <c r="P58" s="5"/>
    </row>
    <row r="59" spans="1:16" ht="29.5" thickBot="1" x14ac:dyDescent="0.4">
      <c r="A59" s="1" t="s">
        <v>224</v>
      </c>
      <c r="B59" s="2">
        <v>45471</v>
      </c>
      <c r="C59" s="1" t="s">
        <v>147</v>
      </c>
      <c r="D59" s="1" t="s">
        <v>148</v>
      </c>
      <c r="E59" s="1" t="s">
        <v>109</v>
      </c>
      <c r="F59" s="1" t="s">
        <v>110</v>
      </c>
      <c r="G59" s="1" t="s">
        <v>28</v>
      </c>
      <c r="H59" s="3">
        <v>4</v>
      </c>
      <c r="I59" s="3">
        <v>899.99</v>
      </c>
      <c r="J59" s="1" t="s">
        <v>77</v>
      </c>
      <c r="K59" s="1" t="s">
        <v>111</v>
      </c>
      <c r="L59" s="1" t="s">
        <v>78</v>
      </c>
      <c r="M59" s="2">
        <v>44993</v>
      </c>
      <c r="N59" s="3">
        <v>3599.96</v>
      </c>
      <c r="O59" s="4"/>
      <c r="P59" s="5"/>
    </row>
    <row r="60" spans="1:16" ht="29.5" thickBot="1" x14ac:dyDescent="0.4">
      <c r="A60" s="1" t="s">
        <v>225</v>
      </c>
      <c r="B60" s="2">
        <v>45472</v>
      </c>
      <c r="C60" s="1" t="s">
        <v>168</v>
      </c>
      <c r="D60" s="1" t="s">
        <v>169</v>
      </c>
      <c r="E60" s="1" t="s">
        <v>93</v>
      </c>
      <c r="F60" s="1" t="s">
        <v>94</v>
      </c>
      <c r="G60" s="1" t="s">
        <v>29</v>
      </c>
      <c r="H60" s="3">
        <v>1</v>
      </c>
      <c r="I60" s="3">
        <v>149.99</v>
      </c>
      <c r="J60" s="1" t="s">
        <v>84</v>
      </c>
      <c r="K60" s="1" t="s">
        <v>111</v>
      </c>
      <c r="L60" s="1" t="s">
        <v>73</v>
      </c>
      <c r="M60" s="2">
        <v>44851</v>
      </c>
      <c r="N60" s="3">
        <v>149.99</v>
      </c>
      <c r="O60" s="4"/>
      <c r="P60" s="5"/>
    </row>
    <row r="61" spans="1:16" ht="29.5" thickBot="1" x14ac:dyDescent="0.4">
      <c r="A61" s="1" t="s">
        <v>226</v>
      </c>
      <c r="B61" s="2">
        <v>45474</v>
      </c>
      <c r="C61" s="1" t="s">
        <v>180</v>
      </c>
      <c r="D61" s="1" t="s">
        <v>181</v>
      </c>
      <c r="E61" s="1" t="s">
        <v>165</v>
      </c>
      <c r="F61" s="1" t="s">
        <v>166</v>
      </c>
      <c r="G61" s="1" t="s">
        <v>28</v>
      </c>
      <c r="H61" s="3">
        <v>2</v>
      </c>
      <c r="I61" s="3">
        <v>89.99</v>
      </c>
      <c r="J61" s="1" t="s">
        <v>84</v>
      </c>
      <c r="K61" s="1" t="s">
        <v>72</v>
      </c>
      <c r="L61" s="1" t="s">
        <v>78</v>
      </c>
      <c r="M61" s="2">
        <v>45275</v>
      </c>
      <c r="N61" s="3">
        <v>179.98</v>
      </c>
      <c r="O61" s="4"/>
      <c r="P61" s="5"/>
    </row>
    <row r="62" spans="1:16" ht="29.5" thickBot="1" x14ac:dyDescent="0.4">
      <c r="A62" s="1" t="s">
        <v>227</v>
      </c>
      <c r="B62" s="2">
        <v>45475</v>
      </c>
      <c r="C62" s="1" t="s">
        <v>103</v>
      </c>
      <c r="D62" s="1" t="s">
        <v>104</v>
      </c>
      <c r="E62" s="1" t="s">
        <v>165</v>
      </c>
      <c r="F62" s="1" t="s">
        <v>166</v>
      </c>
      <c r="G62" s="1" t="s">
        <v>28</v>
      </c>
      <c r="H62" s="3">
        <v>1</v>
      </c>
      <c r="I62" s="3">
        <v>89.99</v>
      </c>
      <c r="J62" s="1" t="s">
        <v>84</v>
      </c>
      <c r="K62" s="1" t="s">
        <v>98</v>
      </c>
      <c r="L62" s="1" t="s">
        <v>85</v>
      </c>
      <c r="M62" s="2">
        <v>44802</v>
      </c>
      <c r="N62" s="3">
        <v>89.99</v>
      </c>
      <c r="O62" s="4"/>
      <c r="P62" s="5"/>
    </row>
    <row r="63" spans="1:16" ht="29.5" thickBot="1" x14ac:dyDescent="0.4">
      <c r="A63" s="1" t="s">
        <v>228</v>
      </c>
      <c r="B63" s="2">
        <v>45476</v>
      </c>
      <c r="C63" s="1" t="s">
        <v>116</v>
      </c>
      <c r="D63" s="1" t="s">
        <v>117</v>
      </c>
      <c r="E63" s="1" t="s">
        <v>165</v>
      </c>
      <c r="F63" s="1" t="s">
        <v>166</v>
      </c>
      <c r="G63" s="1" t="s">
        <v>28</v>
      </c>
      <c r="H63" s="3">
        <v>1</v>
      </c>
      <c r="I63" s="3">
        <v>89.99</v>
      </c>
      <c r="J63" s="1" t="s">
        <v>71</v>
      </c>
      <c r="K63" s="1" t="s">
        <v>52</v>
      </c>
      <c r="L63" s="1" t="s">
        <v>85</v>
      </c>
      <c r="M63" s="2">
        <v>44611</v>
      </c>
      <c r="N63" s="3">
        <v>89.99</v>
      </c>
      <c r="O63" s="4"/>
      <c r="P63" s="5"/>
    </row>
    <row r="64" spans="1:16" ht="29.5" thickBot="1" x14ac:dyDescent="0.4">
      <c r="A64" s="1" t="s">
        <v>229</v>
      </c>
      <c r="B64" s="2">
        <v>45476</v>
      </c>
      <c r="C64" s="1" t="s">
        <v>230</v>
      </c>
      <c r="D64" s="1" t="s">
        <v>231</v>
      </c>
      <c r="E64" s="1" t="s">
        <v>162</v>
      </c>
      <c r="F64" s="1" t="s">
        <v>163</v>
      </c>
      <c r="G64" s="1" t="s">
        <v>27</v>
      </c>
      <c r="H64" s="3">
        <v>5</v>
      </c>
      <c r="I64" s="3">
        <v>79.989999999999995</v>
      </c>
      <c r="J64" s="1" t="s">
        <v>105</v>
      </c>
      <c r="K64" s="1" t="s">
        <v>72</v>
      </c>
      <c r="L64" s="1" t="s">
        <v>73</v>
      </c>
      <c r="M64" s="2">
        <v>44981</v>
      </c>
      <c r="N64" s="3">
        <v>399.95</v>
      </c>
      <c r="O64" s="4"/>
      <c r="P64" s="5"/>
    </row>
    <row r="65" spans="1:16" ht="29.5" thickBot="1" x14ac:dyDescent="0.4">
      <c r="A65" s="1" t="s">
        <v>232</v>
      </c>
      <c r="B65" s="2">
        <v>45481</v>
      </c>
      <c r="C65" s="1" t="s">
        <v>233</v>
      </c>
      <c r="D65" s="1" t="s">
        <v>234</v>
      </c>
      <c r="E65" s="1" t="s">
        <v>93</v>
      </c>
      <c r="F65" s="1" t="s">
        <v>94</v>
      </c>
      <c r="G65" s="1" t="s">
        <v>29</v>
      </c>
      <c r="H65" s="3">
        <v>1</v>
      </c>
      <c r="I65" s="3">
        <v>149.99</v>
      </c>
      <c r="J65" s="1" t="s">
        <v>84</v>
      </c>
      <c r="K65" s="1" t="s">
        <v>89</v>
      </c>
      <c r="L65" s="1" t="s">
        <v>73</v>
      </c>
      <c r="M65" s="2">
        <v>44421</v>
      </c>
      <c r="N65" s="3">
        <v>149.99</v>
      </c>
      <c r="O65" s="4"/>
      <c r="P65" s="5"/>
    </row>
    <row r="66" spans="1:16" ht="29.5" thickBot="1" x14ac:dyDescent="0.4">
      <c r="A66" s="1" t="s">
        <v>235</v>
      </c>
      <c r="B66" s="2">
        <v>45481</v>
      </c>
      <c r="C66" s="1" t="s">
        <v>91</v>
      </c>
      <c r="D66" s="1" t="s">
        <v>92</v>
      </c>
      <c r="E66" s="1" t="s">
        <v>128</v>
      </c>
      <c r="F66" s="1" t="s">
        <v>129</v>
      </c>
      <c r="G66" s="1" t="s">
        <v>28</v>
      </c>
      <c r="H66" s="3">
        <v>2</v>
      </c>
      <c r="I66" s="3">
        <v>699.99</v>
      </c>
      <c r="J66" s="1" t="s">
        <v>84</v>
      </c>
      <c r="K66" s="1" t="s">
        <v>111</v>
      </c>
      <c r="L66" s="1" t="s">
        <v>78</v>
      </c>
      <c r="M66" s="2">
        <v>45389</v>
      </c>
      <c r="N66" s="3">
        <v>1399.98</v>
      </c>
      <c r="O66" s="4"/>
      <c r="P66" s="5"/>
    </row>
    <row r="67" spans="1:16" ht="29.5" thickBot="1" x14ac:dyDescent="0.4">
      <c r="A67" s="1" t="s">
        <v>236</v>
      </c>
      <c r="B67" s="2">
        <v>45481</v>
      </c>
      <c r="C67" s="1" t="s">
        <v>144</v>
      </c>
      <c r="D67" s="1" t="s">
        <v>145</v>
      </c>
      <c r="E67" s="1" t="s">
        <v>165</v>
      </c>
      <c r="F67" s="1" t="s">
        <v>166</v>
      </c>
      <c r="G67" s="1" t="s">
        <v>28</v>
      </c>
      <c r="H67" s="3">
        <v>5</v>
      </c>
      <c r="I67" s="3">
        <v>89.99</v>
      </c>
      <c r="J67" s="1" t="s">
        <v>105</v>
      </c>
      <c r="K67" s="1" t="s">
        <v>89</v>
      </c>
      <c r="L67" s="1" t="s">
        <v>78</v>
      </c>
      <c r="M67" s="2">
        <v>45161</v>
      </c>
      <c r="N67" s="3">
        <v>449.95</v>
      </c>
      <c r="O67" s="4"/>
      <c r="P67" s="5"/>
    </row>
    <row r="68" spans="1:16" ht="29.5" thickBot="1" x14ac:dyDescent="0.4">
      <c r="A68" s="1" t="s">
        <v>237</v>
      </c>
      <c r="B68" s="2">
        <v>45482</v>
      </c>
      <c r="C68" s="1" t="s">
        <v>219</v>
      </c>
      <c r="D68" s="1" t="s">
        <v>220</v>
      </c>
      <c r="E68" s="1" t="s">
        <v>82</v>
      </c>
      <c r="F68" s="1" t="s">
        <v>83</v>
      </c>
      <c r="G68" s="1" t="s">
        <v>27</v>
      </c>
      <c r="H68" s="3">
        <v>4</v>
      </c>
      <c r="I68" s="3">
        <v>59.99</v>
      </c>
      <c r="J68" s="1" t="s">
        <v>71</v>
      </c>
      <c r="K68" s="1" t="s">
        <v>52</v>
      </c>
      <c r="L68" s="1" t="s">
        <v>85</v>
      </c>
      <c r="M68" s="2">
        <v>44509</v>
      </c>
      <c r="N68" s="3">
        <v>239.96</v>
      </c>
      <c r="O68" s="4"/>
      <c r="P68" s="5"/>
    </row>
    <row r="69" spans="1:16" ht="29.5" thickBot="1" x14ac:dyDescent="0.4">
      <c r="A69" s="1" t="s">
        <v>238</v>
      </c>
      <c r="B69" s="2">
        <v>45484</v>
      </c>
      <c r="C69" s="1" t="s">
        <v>75</v>
      </c>
      <c r="D69" s="1" t="s">
        <v>76</v>
      </c>
      <c r="E69" s="1" t="s">
        <v>100</v>
      </c>
      <c r="F69" s="1" t="s">
        <v>101</v>
      </c>
      <c r="G69" s="1" t="s">
        <v>28</v>
      </c>
      <c r="H69" s="3">
        <v>1</v>
      </c>
      <c r="I69" s="3">
        <v>149.99</v>
      </c>
      <c r="J69" s="1" t="s">
        <v>71</v>
      </c>
      <c r="K69" s="1" t="s">
        <v>72</v>
      </c>
      <c r="L69" s="1" t="s">
        <v>85</v>
      </c>
      <c r="M69" s="2">
        <v>44909</v>
      </c>
      <c r="N69" s="3">
        <v>149.99</v>
      </c>
      <c r="O69" s="4"/>
      <c r="P69" s="5"/>
    </row>
    <row r="70" spans="1:16" ht="29.5" thickBot="1" x14ac:dyDescent="0.4">
      <c r="A70" s="1" t="s">
        <v>239</v>
      </c>
      <c r="B70" s="2">
        <v>45484</v>
      </c>
      <c r="C70" s="1" t="s">
        <v>240</v>
      </c>
      <c r="D70" s="1" t="s">
        <v>241</v>
      </c>
      <c r="E70" s="1" t="s">
        <v>153</v>
      </c>
      <c r="F70" s="1" t="s">
        <v>154</v>
      </c>
      <c r="G70" s="1" t="s">
        <v>29</v>
      </c>
      <c r="H70" s="3">
        <v>1</v>
      </c>
      <c r="I70" s="3">
        <v>299.99</v>
      </c>
      <c r="J70" s="1" t="s">
        <v>77</v>
      </c>
      <c r="K70" s="1" t="s">
        <v>89</v>
      </c>
      <c r="L70" s="1" t="s">
        <v>78</v>
      </c>
      <c r="M70" s="2">
        <v>44891</v>
      </c>
      <c r="N70" s="3">
        <v>299.99</v>
      </c>
      <c r="O70" s="4"/>
      <c r="P70" s="5"/>
    </row>
    <row r="71" spans="1:16" ht="29.5" thickBot="1" x14ac:dyDescent="0.4">
      <c r="A71" s="1" t="s">
        <v>242</v>
      </c>
      <c r="B71" s="2">
        <v>45487</v>
      </c>
      <c r="C71" s="1" t="s">
        <v>240</v>
      </c>
      <c r="D71" s="1" t="s">
        <v>241</v>
      </c>
      <c r="E71" s="1" t="s">
        <v>174</v>
      </c>
      <c r="F71" s="1" t="s">
        <v>175</v>
      </c>
      <c r="G71" s="1" t="s">
        <v>29</v>
      </c>
      <c r="H71" s="3">
        <v>2</v>
      </c>
      <c r="I71" s="3">
        <v>199.99</v>
      </c>
      <c r="J71" s="1" t="s">
        <v>71</v>
      </c>
      <c r="K71" s="1" t="s">
        <v>89</v>
      </c>
      <c r="L71" s="1" t="s">
        <v>73</v>
      </c>
      <c r="M71" s="2">
        <v>44541</v>
      </c>
      <c r="N71" s="3">
        <v>399.98</v>
      </c>
      <c r="O71" s="4"/>
      <c r="P71" s="5"/>
    </row>
    <row r="72" spans="1:16" ht="29.5" thickBot="1" x14ac:dyDescent="0.4">
      <c r="A72" s="1" t="s">
        <v>243</v>
      </c>
      <c r="B72" s="2">
        <v>45490</v>
      </c>
      <c r="C72" s="1" t="s">
        <v>244</v>
      </c>
      <c r="D72" s="1" t="s">
        <v>245</v>
      </c>
      <c r="E72" s="1" t="s">
        <v>82</v>
      </c>
      <c r="F72" s="1" t="s">
        <v>83</v>
      </c>
      <c r="G72" s="1" t="s">
        <v>27</v>
      </c>
      <c r="H72" s="3">
        <v>3</v>
      </c>
      <c r="I72" s="3">
        <v>59.99</v>
      </c>
      <c r="J72" s="1" t="s">
        <v>77</v>
      </c>
      <c r="K72" s="1" t="s">
        <v>98</v>
      </c>
      <c r="L72" s="1" t="s">
        <v>73</v>
      </c>
      <c r="M72" s="2">
        <v>45130</v>
      </c>
      <c r="N72" s="3">
        <v>179.97</v>
      </c>
      <c r="O72" s="4"/>
      <c r="P72" s="5"/>
    </row>
    <row r="73" spans="1:16" ht="44" thickBot="1" x14ac:dyDescent="0.4">
      <c r="A73" s="1" t="s">
        <v>246</v>
      </c>
      <c r="B73" s="2">
        <v>45490</v>
      </c>
      <c r="C73" s="1" t="s">
        <v>120</v>
      </c>
      <c r="D73" s="1" t="s">
        <v>121</v>
      </c>
      <c r="E73" s="1" t="s">
        <v>93</v>
      </c>
      <c r="F73" s="1" t="s">
        <v>94</v>
      </c>
      <c r="G73" s="1" t="s">
        <v>29</v>
      </c>
      <c r="H73" s="3">
        <v>3</v>
      </c>
      <c r="I73" s="3">
        <v>149.99</v>
      </c>
      <c r="J73" s="1" t="s">
        <v>71</v>
      </c>
      <c r="K73" s="1" t="s">
        <v>72</v>
      </c>
      <c r="L73" s="1" t="s">
        <v>78</v>
      </c>
      <c r="M73" s="2">
        <v>45199</v>
      </c>
      <c r="N73" s="3">
        <v>449.97</v>
      </c>
      <c r="O73" s="4"/>
      <c r="P73" s="5"/>
    </row>
    <row r="74" spans="1:16" ht="29.5" thickBot="1" x14ac:dyDescent="0.4">
      <c r="A74" s="1" t="s">
        <v>247</v>
      </c>
      <c r="B74" s="2">
        <v>45491</v>
      </c>
      <c r="C74" s="1" t="s">
        <v>113</v>
      </c>
      <c r="D74" s="1" t="s">
        <v>114</v>
      </c>
      <c r="E74" s="1" t="s">
        <v>174</v>
      </c>
      <c r="F74" s="1" t="s">
        <v>175</v>
      </c>
      <c r="G74" s="1" t="s">
        <v>29</v>
      </c>
      <c r="H74" s="3">
        <v>3</v>
      </c>
      <c r="I74" s="3">
        <v>199.99</v>
      </c>
      <c r="J74" s="1" t="s">
        <v>71</v>
      </c>
      <c r="K74" s="1" t="s">
        <v>89</v>
      </c>
      <c r="L74" s="1" t="s">
        <v>78</v>
      </c>
      <c r="M74" s="2">
        <v>45254</v>
      </c>
      <c r="N74" s="3">
        <v>599.97</v>
      </c>
      <c r="O74" s="4"/>
      <c r="P74" s="5"/>
    </row>
    <row r="75" spans="1:16" ht="29.5" thickBot="1" x14ac:dyDescent="0.4">
      <c r="A75" s="1" t="s">
        <v>248</v>
      </c>
      <c r="B75" s="2">
        <v>45496</v>
      </c>
      <c r="C75" s="1" t="s">
        <v>198</v>
      </c>
      <c r="D75" s="1" t="s">
        <v>199</v>
      </c>
      <c r="E75" s="1" t="s">
        <v>109</v>
      </c>
      <c r="F75" s="1" t="s">
        <v>110</v>
      </c>
      <c r="G75" s="1" t="s">
        <v>28</v>
      </c>
      <c r="H75" s="3">
        <v>1</v>
      </c>
      <c r="I75" s="3">
        <v>899.99</v>
      </c>
      <c r="J75" s="1" t="s">
        <v>71</v>
      </c>
      <c r="K75" s="1" t="s">
        <v>72</v>
      </c>
      <c r="L75" s="1" t="s">
        <v>85</v>
      </c>
      <c r="M75" s="2">
        <v>45179</v>
      </c>
      <c r="N75" s="3">
        <v>899.99</v>
      </c>
      <c r="O75" s="4"/>
      <c r="P75" s="5"/>
    </row>
    <row r="76" spans="1:16" ht="29.5" thickBot="1" x14ac:dyDescent="0.4">
      <c r="A76" s="1" t="s">
        <v>249</v>
      </c>
      <c r="B76" s="2">
        <v>45497</v>
      </c>
      <c r="C76" s="1" t="s">
        <v>75</v>
      </c>
      <c r="D76" s="1" t="s">
        <v>76</v>
      </c>
      <c r="E76" s="1" t="s">
        <v>109</v>
      </c>
      <c r="F76" s="1" t="s">
        <v>110</v>
      </c>
      <c r="G76" s="1" t="s">
        <v>28</v>
      </c>
      <c r="H76" s="3">
        <v>5</v>
      </c>
      <c r="I76" s="3">
        <v>899.99</v>
      </c>
      <c r="J76" s="1" t="s">
        <v>105</v>
      </c>
      <c r="K76" s="1" t="s">
        <v>52</v>
      </c>
      <c r="L76" s="1" t="s">
        <v>85</v>
      </c>
      <c r="M76" s="2">
        <v>44899</v>
      </c>
      <c r="N76" s="3">
        <v>4499.95</v>
      </c>
      <c r="O76" s="4"/>
      <c r="P76" s="5"/>
    </row>
    <row r="77" spans="1:16" ht="29.5" thickBot="1" x14ac:dyDescent="0.4">
      <c r="A77" s="1" t="s">
        <v>250</v>
      </c>
      <c r="B77" s="2">
        <v>45498</v>
      </c>
      <c r="C77" s="1" t="s">
        <v>230</v>
      </c>
      <c r="D77" s="1" t="s">
        <v>231</v>
      </c>
      <c r="E77" s="1" t="s">
        <v>82</v>
      </c>
      <c r="F77" s="1" t="s">
        <v>83</v>
      </c>
      <c r="G77" s="1" t="s">
        <v>27</v>
      </c>
      <c r="H77" s="3">
        <v>2</v>
      </c>
      <c r="I77" s="3">
        <v>59.99</v>
      </c>
      <c r="J77" s="1" t="s">
        <v>71</v>
      </c>
      <c r="K77" s="1" t="s">
        <v>89</v>
      </c>
      <c r="L77" s="1" t="s">
        <v>85</v>
      </c>
      <c r="M77" s="2">
        <v>45152</v>
      </c>
      <c r="N77" s="3">
        <v>119.98</v>
      </c>
      <c r="O77" s="4"/>
      <c r="P77" s="5"/>
    </row>
    <row r="78" spans="1:16" ht="29.5" thickBot="1" x14ac:dyDescent="0.4">
      <c r="A78" s="1" t="s">
        <v>251</v>
      </c>
      <c r="B78" s="2">
        <v>45498</v>
      </c>
      <c r="C78" s="1" t="s">
        <v>244</v>
      </c>
      <c r="D78" s="1" t="s">
        <v>245</v>
      </c>
      <c r="E78" s="1" t="s">
        <v>69</v>
      </c>
      <c r="F78" s="1" t="s">
        <v>70</v>
      </c>
      <c r="G78" s="1" t="s">
        <v>28</v>
      </c>
      <c r="H78" s="3">
        <v>4</v>
      </c>
      <c r="I78" s="3">
        <v>249.99</v>
      </c>
      <c r="J78" s="1" t="s">
        <v>105</v>
      </c>
      <c r="K78" s="1" t="s">
        <v>72</v>
      </c>
      <c r="L78" s="1" t="s">
        <v>85</v>
      </c>
      <c r="M78" s="2">
        <v>45127</v>
      </c>
      <c r="N78" s="3">
        <v>999.96</v>
      </c>
      <c r="O78" s="4"/>
      <c r="P78" s="5"/>
    </row>
    <row r="79" spans="1:16" ht="29.5" thickBot="1" x14ac:dyDescent="0.4">
      <c r="A79" s="1" t="s">
        <v>252</v>
      </c>
      <c r="B79" s="2">
        <v>45500</v>
      </c>
      <c r="C79" s="1" t="s">
        <v>144</v>
      </c>
      <c r="D79" s="1" t="s">
        <v>145</v>
      </c>
      <c r="E79" s="1" t="s">
        <v>69</v>
      </c>
      <c r="F79" s="1" t="s">
        <v>70</v>
      </c>
      <c r="G79" s="1" t="s">
        <v>28</v>
      </c>
      <c r="H79" s="3">
        <v>2</v>
      </c>
      <c r="I79" s="3">
        <v>249.99</v>
      </c>
      <c r="J79" s="1" t="s">
        <v>71</v>
      </c>
      <c r="K79" s="1" t="s">
        <v>89</v>
      </c>
      <c r="L79" s="1" t="s">
        <v>78</v>
      </c>
      <c r="M79" s="2">
        <v>45164</v>
      </c>
      <c r="N79" s="3">
        <v>499.98</v>
      </c>
      <c r="O79" s="4"/>
      <c r="P79" s="5"/>
    </row>
    <row r="80" spans="1:16" ht="29.5" thickBot="1" x14ac:dyDescent="0.4">
      <c r="A80" s="1" t="s">
        <v>253</v>
      </c>
      <c r="B80" s="2">
        <v>45500</v>
      </c>
      <c r="C80" s="1" t="s">
        <v>195</v>
      </c>
      <c r="D80" s="1" t="s">
        <v>196</v>
      </c>
      <c r="E80" s="1" t="s">
        <v>153</v>
      </c>
      <c r="F80" s="1" t="s">
        <v>154</v>
      </c>
      <c r="G80" s="1" t="s">
        <v>29</v>
      </c>
      <c r="H80" s="3">
        <v>1</v>
      </c>
      <c r="I80" s="3">
        <v>299.99</v>
      </c>
      <c r="J80" s="1" t="s">
        <v>71</v>
      </c>
      <c r="K80" s="1" t="s">
        <v>52</v>
      </c>
      <c r="L80" s="1" t="s">
        <v>73</v>
      </c>
      <c r="M80" s="2">
        <v>44982</v>
      </c>
      <c r="N80" s="3">
        <v>299.99</v>
      </c>
      <c r="O80" s="4"/>
      <c r="P80" s="5"/>
    </row>
    <row r="81" spans="1:16" ht="29.5" thickBot="1" x14ac:dyDescent="0.4">
      <c r="A81" s="1" t="s">
        <v>254</v>
      </c>
      <c r="B81" s="2">
        <v>45501</v>
      </c>
      <c r="C81" s="1" t="s">
        <v>134</v>
      </c>
      <c r="D81" s="1" t="s">
        <v>135</v>
      </c>
      <c r="E81" s="1" t="s">
        <v>165</v>
      </c>
      <c r="F81" s="1" t="s">
        <v>166</v>
      </c>
      <c r="G81" s="1" t="s">
        <v>28</v>
      </c>
      <c r="H81" s="3">
        <v>2</v>
      </c>
      <c r="I81" s="3">
        <v>89.99</v>
      </c>
      <c r="J81" s="1" t="s">
        <v>84</v>
      </c>
      <c r="K81" s="1" t="s">
        <v>52</v>
      </c>
      <c r="L81" s="1" t="s">
        <v>73</v>
      </c>
      <c r="M81" s="2">
        <v>44976</v>
      </c>
      <c r="N81" s="3">
        <v>179.98</v>
      </c>
      <c r="O81" s="4"/>
      <c r="P81" s="5"/>
    </row>
    <row r="82" spans="1:16" ht="29.5" thickBot="1" x14ac:dyDescent="0.4">
      <c r="A82" s="1" t="s">
        <v>255</v>
      </c>
      <c r="B82" s="2">
        <v>45501</v>
      </c>
      <c r="C82" s="1" t="s">
        <v>195</v>
      </c>
      <c r="D82" s="1" t="s">
        <v>196</v>
      </c>
      <c r="E82" s="1" t="s">
        <v>153</v>
      </c>
      <c r="F82" s="1" t="s">
        <v>154</v>
      </c>
      <c r="G82" s="1" t="s">
        <v>29</v>
      </c>
      <c r="H82" s="3">
        <v>3</v>
      </c>
      <c r="I82" s="3">
        <v>299.99</v>
      </c>
      <c r="J82" s="1" t="s">
        <v>71</v>
      </c>
      <c r="K82" s="1" t="s">
        <v>72</v>
      </c>
      <c r="L82" s="1" t="s">
        <v>73</v>
      </c>
      <c r="M82" s="2">
        <v>44732</v>
      </c>
      <c r="N82" s="3">
        <v>899.97</v>
      </c>
      <c r="O82" s="4"/>
      <c r="P82" s="5"/>
    </row>
    <row r="83" spans="1:16" ht="29.5" thickBot="1" x14ac:dyDescent="0.4">
      <c r="A83" s="1" t="s">
        <v>256</v>
      </c>
      <c r="B83" s="2">
        <v>45503</v>
      </c>
      <c r="C83" s="1" t="s">
        <v>134</v>
      </c>
      <c r="D83" s="1" t="s">
        <v>135</v>
      </c>
      <c r="E83" s="1" t="s">
        <v>128</v>
      </c>
      <c r="F83" s="1" t="s">
        <v>129</v>
      </c>
      <c r="G83" s="1" t="s">
        <v>28</v>
      </c>
      <c r="H83" s="3">
        <v>2</v>
      </c>
      <c r="I83" s="3">
        <v>699.99</v>
      </c>
      <c r="J83" s="1" t="s">
        <v>77</v>
      </c>
      <c r="K83" s="1" t="s">
        <v>89</v>
      </c>
      <c r="L83" s="1" t="s">
        <v>78</v>
      </c>
      <c r="M83" s="2">
        <v>44999</v>
      </c>
      <c r="N83" s="3">
        <v>1399.98</v>
      </c>
      <c r="O83" s="4"/>
      <c r="P83" s="5"/>
    </row>
    <row r="84" spans="1:16" ht="29.5" thickBot="1" x14ac:dyDescent="0.4">
      <c r="A84" s="1" t="s">
        <v>257</v>
      </c>
      <c r="B84" s="2">
        <v>45504</v>
      </c>
      <c r="C84" s="1" t="s">
        <v>168</v>
      </c>
      <c r="D84" s="1" t="s">
        <v>169</v>
      </c>
      <c r="E84" s="1" t="s">
        <v>109</v>
      </c>
      <c r="F84" s="1" t="s">
        <v>110</v>
      </c>
      <c r="G84" s="1" t="s">
        <v>28</v>
      </c>
      <c r="H84" s="3">
        <v>4</v>
      </c>
      <c r="I84" s="3">
        <v>899.99</v>
      </c>
      <c r="J84" s="1" t="s">
        <v>105</v>
      </c>
      <c r="K84" s="1" t="s">
        <v>52</v>
      </c>
      <c r="L84" s="1" t="s">
        <v>85</v>
      </c>
      <c r="M84" s="2">
        <v>44523</v>
      </c>
      <c r="N84" s="3">
        <v>3599.96</v>
      </c>
      <c r="O84" s="4"/>
      <c r="P84" s="5"/>
    </row>
    <row r="85" spans="1:16" ht="29.5" thickBot="1" x14ac:dyDescent="0.4">
      <c r="A85" s="1" t="s">
        <v>258</v>
      </c>
      <c r="B85" s="2">
        <v>45509</v>
      </c>
      <c r="C85" s="1" t="s">
        <v>259</v>
      </c>
      <c r="D85" s="1" t="s">
        <v>260</v>
      </c>
      <c r="E85" s="1" t="s">
        <v>93</v>
      </c>
      <c r="F85" s="1" t="s">
        <v>94</v>
      </c>
      <c r="G85" s="1" t="s">
        <v>29</v>
      </c>
      <c r="H85" s="3">
        <v>2</v>
      </c>
      <c r="I85" s="3">
        <v>149.99</v>
      </c>
      <c r="J85" s="1" t="s">
        <v>77</v>
      </c>
      <c r="K85" s="1" t="s">
        <v>98</v>
      </c>
      <c r="L85" s="1" t="s">
        <v>73</v>
      </c>
      <c r="M85" s="2">
        <v>44542</v>
      </c>
      <c r="N85" s="3">
        <v>299.98</v>
      </c>
      <c r="O85" s="4"/>
      <c r="P85" s="5"/>
    </row>
    <row r="86" spans="1:16" ht="29.5" thickBot="1" x14ac:dyDescent="0.4">
      <c r="A86" s="1" t="s">
        <v>261</v>
      </c>
      <c r="B86" s="2">
        <v>45510</v>
      </c>
      <c r="C86" s="1" t="s">
        <v>150</v>
      </c>
      <c r="D86" s="1" t="s">
        <v>151</v>
      </c>
      <c r="E86" s="1" t="s">
        <v>93</v>
      </c>
      <c r="F86" s="1" t="s">
        <v>94</v>
      </c>
      <c r="G86" s="1" t="s">
        <v>29</v>
      </c>
      <c r="H86" s="3">
        <v>2</v>
      </c>
      <c r="I86" s="3">
        <v>149.99</v>
      </c>
      <c r="J86" s="1" t="s">
        <v>105</v>
      </c>
      <c r="K86" s="1" t="s">
        <v>111</v>
      </c>
      <c r="L86" s="1" t="s">
        <v>85</v>
      </c>
      <c r="M86" s="2">
        <v>44667</v>
      </c>
      <c r="N86" s="3">
        <v>299.98</v>
      </c>
      <c r="O86" s="4"/>
      <c r="P86" s="5"/>
    </row>
    <row r="87" spans="1:16" ht="29.5" thickBot="1" x14ac:dyDescent="0.4">
      <c r="A87" s="1" t="s">
        <v>262</v>
      </c>
      <c r="B87" s="2">
        <v>45513</v>
      </c>
      <c r="C87" s="1" t="s">
        <v>137</v>
      </c>
      <c r="D87" s="1" t="s">
        <v>138</v>
      </c>
      <c r="E87" s="1" t="s">
        <v>165</v>
      </c>
      <c r="F87" s="1" t="s">
        <v>166</v>
      </c>
      <c r="G87" s="1" t="s">
        <v>28</v>
      </c>
      <c r="H87" s="3">
        <v>1</v>
      </c>
      <c r="I87" s="3">
        <v>89.99</v>
      </c>
      <c r="J87" s="1" t="s">
        <v>77</v>
      </c>
      <c r="K87" s="1" t="s">
        <v>89</v>
      </c>
      <c r="L87" s="1" t="s">
        <v>85</v>
      </c>
      <c r="M87" s="2">
        <v>45393</v>
      </c>
      <c r="N87" s="3">
        <v>89.99</v>
      </c>
      <c r="O87" s="4"/>
      <c r="P87" s="5"/>
    </row>
    <row r="88" spans="1:16" ht="29.5" thickBot="1" x14ac:dyDescent="0.4">
      <c r="A88" s="1" t="s">
        <v>263</v>
      </c>
      <c r="B88" s="2">
        <v>45515</v>
      </c>
      <c r="C88" s="1" t="s">
        <v>134</v>
      </c>
      <c r="D88" s="1" t="s">
        <v>135</v>
      </c>
      <c r="E88" s="1" t="s">
        <v>153</v>
      </c>
      <c r="F88" s="1" t="s">
        <v>154</v>
      </c>
      <c r="G88" s="1" t="s">
        <v>29</v>
      </c>
      <c r="H88" s="3">
        <v>5</v>
      </c>
      <c r="I88" s="3">
        <v>299.99</v>
      </c>
      <c r="J88" s="1" t="s">
        <v>77</v>
      </c>
      <c r="K88" s="1" t="s">
        <v>89</v>
      </c>
      <c r="L88" s="1" t="s">
        <v>73</v>
      </c>
      <c r="M88" s="2">
        <v>44965</v>
      </c>
      <c r="N88" s="3">
        <v>1499.95</v>
      </c>
      <c r="O88" s="4"/>
      <c r="P88" s="5"/>
    </row>
    <row r="89" spans="1:16" ht="29.5" thickBot="1" x14ac:dyDescent="0.4">
      <c r="A89" s="1" t="s">
        <v>264</v>
      </c>
      <c r="B89" s="2">
        <v>45517</v>
      </c>
      <c r="C89" s="1" t="s">
        <v>230</v>
      </c>
      <c r="D89" s="1" t="s">
        <v>231</v>
      </c>
      <c r="E89" s="1" t="s">
        <v>100</v>
      </c>
      <c r="F89" s="1" t="s">
        <v>101</v>
      </c>
      <c r="G89" s="1" t="s">
        <v>28</v>
      </c>
      <c r="H89" s="3">
        <v>4</v>
      </c>
      <c r="I89" s="3">
        <v>149.99</v>
      </c>
      <c r="J89" s="1" t="s">
        <v>105</v>
      </c>
      <c r="K89" s="1" t="s">
        <v>52</v>
      </c>
      <c r="L89" s="1" t="s">
        <v>78</v>
      </c>
      <c r="M89" s="2">
        <v>44820</v>
      </c>
      <c r="N89" s="3">
        <v>599.96</v>
      </c>
      <c r="O89" s="4"/>
      <c r="P89" s="5"/>
    </row>
    <row r="90" spans="1:16" ht="29.5" thickBot="1" x14ac:dyDescent="0.4">
      <c r="A90" s="1" t="s">
        <v>265</v>
      </c>
      <c r="B90" s="2">
        <v>45517</v>
      </c>
      <c r="C90" s="1" t="s">
        <v>233</v>
      </c>
      <c r="D90" s="1" t="s">
        <v>234</v>
      </c>
      <c r="E90" s="1" t="s">
        <v>69</v>
      </c>
      <c r="F90" s="1" t="s">
        <v>70</v>
      </c>
      <c r="G90" s="1" t="s">
        <v>28</v>
      </c>
      <c r="H90" s="3">
        <v>5</v>
      </c>
      <c r="I90" s="3">
        <v>249.99</v>
      </c>
      <c r="J90" s="1" t="s">
        <v>84</v>
      </c>
      <c r="K90" s="1" t="s">
        <v>111</v>
      </c>
      <c r="L90" s="1" t="s">
        <v>78</v>
      </c>
      <c r="M90" s="2">
        <v>44782</v>
      </c>
      <c r="N90" s="3">
        <v>1249.95</v>
      </c>
      <c r="O90" s="4"/>
      <c r="P90" s="5"/>
    </row>
    <row r="91" spans="1:16" ht="29.5" thickBot="1" x14ac:dyDescent="0.4">
      <c r="A91" s="1" t="s">
        <v>266</v>
      </c>
      <c r="B91" s="2">
        <v>45517</v>
      </c>
      <c r="C91" s="1" t="s">
        <v>113</v>
      </c>
      <c r="D91" s="1" t="s">
        <v>114</v>
      </c>
      <c r="E91" s="1" t="s">
        <v>69</v>
      </c>
      <c r="F91" s="1" t="s">
        <v>70</v>
      </c>
      <c r="G91" s="1" t="s">
        <v>28</v>
      </c>
      <c r="H91" s="3">
        <v>3</v>
      </c>
      <c r="I91" s="3">
        <v>249.99</v>
      </c>
      <c r="J91" s="1" t="s">
        <v>84</v>
      </c>
      <c r="K91" s="1" t="s">
        <v>89</v>
      </c>
      <c r="L91" s="1" t="s">
        <v>78</v>
      </c>
      <c r="M91" s="2">
        <v>44465</v>
      </c>
      <c r="N91" s="3">
        <v>749.97</v>
      </c>
      <c r="O91" s="4"/>
      <c r="P91" s="5"/>
    </row>
    <row r="92" spans="1:16" ht="29.5" thickBot="1" x14ac:dyDescent="0.4">
      <c r="A92" s="1" t="s">
        <v>267</v>
      </c>
      <c r="B92" s="2">
        <v>45517</v>
      </c>
      <c r="C92" s="1" t="s">
        <v>87</v>
      </c>
      <c r="D92" s="1" t="s">
        <v>88</v>
      </c>
      <c r="E92" s="1" t="s">
        <v>174</v>
      </c>
      <c r="F92" s="1" t="s">
        <v>175</v>
      </c>
      <c r="G92" s="1" t="s">
        <v>29</v>
      </c>
      <c r="H92" s="3">
        <v>4</v>
      </c>
      <c r="I92" s="3">
        <v>199.99</v>
      </c>
      <c r="J92" s="1" t="s">
        <v>71</v>
      </c>
      <c r="K92" s="1" t="s">
        <v>89</v>
      </c>
      <c r="L92" s="1" t="s">
        <v>85</v>
      </c>
      <c r="M92" s="2">
        <v>44458</v>
      </c>
      <c r="N92" s="3">
        <v>799.96</v>
      </c>
      <c r="O92" s="4"/>
      <c r="P92" s="5"/>
    </row>
    <row r="93" spans="1:16" ht="29.5" thickBot="1" x14ac:dyDescent="0.4">
      <c r="A93" s="1" t="s">
        <v>268</v>
      </c>
      <c r="B93" s="2">
        <v>45519</v>
      </c>
      <c r="C93" s="1" t="s">
        <v>206</v>
      </c>
      <c r="D93" s="1" t="s">
        <v>207</v>
      </c>
      <c r="E93" s="1" t="s">
        <v>174</v>
      </c>
      <c r="F93" s="1" t="s">
        <v>175</v>
      </c>
      <c r="G93" s="1" t="s">
        <v>29</v>
      </c>
      <c r="H93" s="3">
        <v>5</v>
      </c>
      <c r="I93" s="3">
        <v>199.99</v>
      </c>
      <c r="J93" s="1" t="s">
        <v>71</v>
      </c>
      <c r="K93" s="1" t="s">
        <v>89</v>
      </c>
      <c r="L93" s="1" t="s">
        <v>78</v>
      </c>
      <c r="M93" s="2">
        <v>44991</v>
      </c>
      <c r="N93" s="3">
        <v>999.95</v>
      </c>
      <c r="O93" s="4"/>
      <c r="P93" s="5"/>
    </row>
    <row r="94" spans="1:16" ht="29.5" thickBot="1" x14ac:dyDescent="0.4">
      <c r="A94" s="1" t="s">
        <v>269</v>
      </c>
      <c r="B94" s="2">
        <v>45522</v>
      </c>
      <c r="C94" s="1" t="s">
        <v>134</v>
      </c>
      <c r="D94" s="1" t="s">
        <v>135</v>
      </c>
      <c r="E94" s="1" t="s">
        <v>165</v>
      </c>
      <c r="F94" s="1" t="s">
        <v>166</v>
      </c>
      <c r="G94" s="1" t="s">
        <v>28</v>
      </c>
      <c r="H94" s="3">
        <v>2</v>
      </c>
      <c r="I94" s="3">
        <v>89.99</v>
      </c>
      <c r="J94" s="1" t="s">
        <v>71</v>
      </c>
      <c r="K94" s="1" t="s">
        <v>111</v>
      </c>
      <c r="L94" s="1" t="s">
        <v>78</v>
      </c>
      <c r="M94" s="2">
        <v>44972</v>
      </c>
      <c r="N94" s="3">
        <v>179.98</v>
      </c>
      <c r="O94" s="4"/>
      <c r="P94" s="5"/>
    </row>
    <row r="95" spans="1:16" ht="29.5" thickBot="1" x14ac:dyDescent="0.4">
      <c r="A95" s="1" t="s">
        <v>270</v>
      </c>
      <c r="B95" s="2">
        <v>45523</v>
      </c>
      <c r="C95" s="1" t="s">
        <v>244</v>
      </c>
      <c r="D95" s="1" t="s">
        <v>245</v>
      </c>
      <c r="E95" s="1" t="s">
        <v>109</v>
      </c>
      <c r="F95" s="1" t="s">
        <v>110</v>
      </c>
      <c r="G95" s="1" t="s">
        <v>28</v>
      </c>
      <c r="H95" s="3">
        <v>5</v>
      </c>
      <c r="I95" s="3">
        <v>899.99</v>
      </c>
      <c r="J95" s="1" t="s">
        <v>105</v>
      </c>
      <c r="K95" s="1" t="s">
        <v>111</v>
      </c>
      <c r="L95" s="1" t="s">
        <v>73</v>
      </c>
      <c r="M95" s="2">
        <v>44526</v>
      </c>
      <c r="N95" s="3">
        <v>4499.95</v>
      </c>
      <c r="O95" s="4"/>
      <c r="P95" s="5"/>
    </row>
    <row r="96" spans="1:16" ht="29.5" thickBot="1" x14ac:dyDescent="0.4">
      <c r="A96" s="1" t="s">
        <v>271</v>
      </c>
      <c r="B96" s="2">
        <v>45523</v>
      </c>
      <c r="C96" s="1" t="s">
        <v>156</v>
      </c>
      <c r="D96" s="1" t="s">
        <v>157</v>
      </c>
      <c r="E96" s="1" t="s">
        <v>100</v>
      </c>
      <c r="F96" s="1" t="s">
        <v>101</v>
      </c>
      <c r="G96" s="1" t="s">
        <v>28</v>
      </c>
      <c r="H96" s="3">
        <v>3</v>
      </c>
      <c r="I96" s="3">
        <v>149.99</v>
      </c>
      <c r="J96" s="1" t="s">
        <v>84</v>
      </c>
      <c r="K96" s="1" t="s">
        <v>111</v>
      </c>
      <c r="L96" s="1" t="s">
        <v>73</v>
      </c>
      <c r="M96" s="2">
        <v>44574</v>
      </c>
      <c r="N96" s="3">
        <v>449.97</v>
      </c>
      <c r="O96" s="4"/>
      <c r="P96" s="5"/>
    </row>
    <row r="97" spans="1:16" ht="29.5" thickBot="1" x14ac:dyDescent="0.4">
      <c r="A97" s="1" t="s">
        <v>272</v>
      </c>
      <c r="B97" s="2">
        <v>45526</v>
      </c>
      <c r="C97" s="1" t="s">
        <v>150</v>
      </c>
      <c r="D97" s="1" t="s">
        <v>151</v>
      </c>
      <c r="E97" s="1" t="s">
        <v>93</v>
      </c>
      <c r="F97" s="1" t="s">
        <v>94</v>
      </c>
      <c r="G97" s="1" t="s">
        <v>29</v>
      </c>
      <c r="H97" s="3">
        <v>5</v>
      </c>
      <c r="I97" s="3">
        <v>149.99</v>
      </c>
      <c r="J97" s="1" t="s">
        <v>77</v>
      </c>
      <c r="K97" s="1" t="s">
        <v>72</v>
      </c>
      <c r="L97" s="1" t="s">
        <v>73</v>
      </c>
      <c r="M97" s="2">
        <v>45310</v>
      </c>
      <c r="N97" s="3">
        <v>749.95</v>
      </c>
      <c r="O97" s="4"/>
      <c r="P97" s="5"/>
    </row>
    <row r="98" spans="1:16" ht="29.5" thickBot="1" x14ac:dyDescent="0.4">
      <c r="A98" s="1" t="s">
        <v>273</v>
      </c>
      <c r="B98" s="2">
        <v>45528</v>
      </c>
      <c r="C98" s="1" t="s">
        <v>274</v>
      </c>
      <c r="D98" s="1" t="s">
        <v>275</v>
      </c>
      <c r="E98" s="1" t="s">
        <v>162</v>
      </c>
      <c r="F98" s="1" t="s">
        <v>163</v>
      </c>
      <c r="G98" s="1" t="s">
        <v>27</v>
      </c>
      <c r="H98" s="3">
        <v>3</v>
      </c>
      <c r="I98" s="3">
        <v>79.989999999999995</v>
      </c>
      <c r="J98" s="1" t="s">
        <v>71</v>
      </c>
      <c r="K98" s="1" t="s">
        <v>72</v>
      </c>
      <c r="L98" s="1" t="s">
        <v>78</v>
      </c>
      <c r="M98" s="2">
        <v>44779</v>
      </c>
      <c r="N98" s="3">
        <v>239.97</v>
      </c>
      <c r="O98" s="4"/>
      <c r="P98" s="5"/>
    </row>
    <row r="99" spans="1:16" ht="29.5" thickBot="1" x14ac:dyDescent="0.4">
      <c r="A99" s="1" t="s">
        <v>276</v>
      </c>
      <c r="B99" s="2">
        <v>45528</v>
      </c>
      <c r="C99" s="1" t="s">
        <v>192</v>
      </c>
      <c r="D99" s="1" t="s">
        <v>193</v>
      </c>
      <c r="E99" s="1" t="s">
        <v>69</v>
      </c>
      <c r="F99" s="1" t="s">
        <v>70</v>
      </c>
      <c r="G99" s="1" t="s">
        <v>28</v>
      </c>
      <c r="H99" s="3">
        <v>2</v>
      </c>
      <c r="I99" s="3">
        <v>249.99</v>
      </c>
      <c r="J99" s="1" t="s">
        <v>71</v>
      </c>
      <c r="K99" s="1" t="s">
        <v>52</v>
      </c>
      <c r="L99" s="1" t="s">
        <v>85</v>
      </c>
      <c r="M99" s="2">
        <v>44572</v>
      </c>
      <c r="N99" s="3">
        <v>499.98</v>
      </c>
      <c r="O99" s="4"/>
      <c r="P99" s="5"/>
    </row>
    <row r="100" spans="1:16" ht="29.5" thickBot="1" x14ac:dyDescent="0.4">
      <c r="A100" s="1" t="s">
        <v>277</v>
      </c>
      <c r="B100" s="2">
        <v>45532</v>
      </c>
      <c r="C100" s="1" t="s">
        <v>244</v>
      </c>
      <c r="D100" s="1" t="s">
        <v>245</v>
      </c>
      <c r="E100" s="1" t="s">
        <v>128</v>
      </c>
      <c r="F100" s="1" t="s">
        <v>129</v>
      </c>
      <c r="G100" s="1" t="s">
        <v>28</v>
      </c>
      <c r="H100" s="3">
        <v>1</v>
      </c>
      <c r="I100" s="3">
        <v>699.99</v>
      </c>
      <c r="J100" s="1" t="s">
        <v>71</v>
      </c>
      <c r="K100" s="1" t="s">
        <v>72</v>
      </c>
      <c r="L100" s="1" t="s">
        <v>78</v>
      </c>
      <c r="M100" s="2">
        <v>44497</v>
      </c>
      <c r="N100" s="3">
        <v>699.99</v>
      </c>
      <c r="O100" s="4"/>
      <c r="P100" s="5"/>
    </row>
    <row r="101" spans="1:16" ht="29.5" thickBot="1" x14ac:dyDescent="0.4">
      <c r="A101" s="1" t="s">
        <v>278</v>
      </c>
      <c r="B101" s="2">
        <v>45532</v>
      </c>
      <c r="C101" s="1" t="s">
        <v>279</v>
      </c>
      <c r="D101" s="1" t="s">
        <v>280</v>
      </c>
      <c r="E101" s="1" t="s">
        <v>100</v>
      </c>
      <c r="F101" s="1" t="s">
        <v>101</v>
      </c>
      <c r="G101" s="1" t="s">
        <v>28</v>
      </c>
      <c r="H101" s="3">
        <v>3</v>
      </c>
      <c r="I101" s="3">
        <v>149.99</v>
      </c>
      <c r="J101" s="1" t="s">
        <v>71</v>
      </c>
      <c r="K101" s="1" t="s">
        <v>98</v>
      </c>
      <c r="L101" s="1" t="s">
        <v>78</v>
      </c>
      <c r="M101" s="2">
        <v>45212</v>
      </c>
      <c r="N101" s="3">
        <v>449.97</v>
      </c>
      <c r="O101" s="4"/>
      <c r="P101" s="5"/>
    </row>
    <row r="102" spans="1:16" ht="29.5" thickBot="1" x14ac:dyDescent="0.4">
      <c r="A102" s="1" t="s">
        <v>281</v>
      </c>
      <c r="B102" s="2">
        <v>45534</v>
      </c>
      <c r="C102" s="1" t="s">
        <v>282</v>
      </c>
      <c r="D102" s="1" t="s">
        <v>283</v>
      </c>
      <c r="E102" s="1" t="s">
        <v>128</v>
      </c>
      <c r="F102" s="1" t="s">
        <v>129</v>
      </c>
      <c r="G102" s="1" t="s">
        <v>28</v>
      </c>
      <c r="H102" s="3">
        <v>2</v>
      </c>
      <c r="I102" s="3">
        <v>699.99</v>
      </c>
      <c r="J102" s="1" t="s">
        <v>77</v>
      </c>
      <c r="K102" s="1" t="s">
        <v>89</v>
      </c>
      <c r="L102" s="1" t="s">
        <v>78</v>
      </c>
      <c r="M102" s="2">
        <v>44421</v>
      </c>
      <c r="N102" s="3">
        <v>1399.98</v>
      </c>
      <c r="O102" s="4"/>
      <c r="P102" s="5"/>
    </row>
    <row r="103" spans="1:16" ht="29.5" thickBot="1" x14ac:dyDescent="0.4">
      <c r="A103" s="1" t="s">
        <v>284</v>
      </c>
      <c r="B103" s="2">
        <v>45537</v>
      </c>
      <c r="C103" s="1" t="s">
        <v>279</v>
      </c>
      <c r="D103" s="1" t="s">
        <v>280</v>
      </c>
      <c r="E103" s="1" t="s">
        <v>69</v>
      </c>
      <c r="F103" s="1" t="s">
        <v>70</v>
      </c>
      <c r="G103" s="1" t="s">
        <v>28</v>
      </c>
      <c r="H103" s="3">
        <v>1</v>
      </c>
      <c r="I103" s="3">
        <v>249.99</v>
      </c>
      <c r="J103" s="1" t="s">
        <v>77</v>
      </c>
      <c r="K103" s="1" t="s">
        <v>98</v>
      </c>
      <c r="L103" s="1" t="s">
        <v>78</v>
      </c>
      <c r="M103" s="2">
        <v>44685</v>
      </c>
      <c r="N103" s="3">
        <v>249.99</v>
      </c>
      <c r="O103" s="4"/>
      <c r="P103" s="5"/>
    </row>
    <row r="104" spans="1:16" ht="29.5" thickBot="1" x14ac:dyDescent="0.4">
      <c r="A104" s="1" t="s">
        <v>285</v>
      </c>
      <c r="B104" s="2">
        <v>45537</v>
      </c>
      <c r="C104" s="1" t="s">
        <v>67</v>
      </c>
      <c r="D104" s="1" t="s">
        <v>68</v>
      </c>
      <c r="E104" s="1" t="s">
        <v>69</v>
      </c>
      <c r="F104" s="1" t="s">
        <v>70</v>
      </c>
      <c r="G104" s="1" t="s">
        <v>28</v>
      </c>
      <c r="H104" s="3">
        <v>1</v>
      </c>
      <c r="I104" s="3">
        <v>249.99</v>
      </c>
      <c r="J104" s="1" t="s">
        <v>105</v>
      </c>
      <c r="K104" s="1" t="s">
        <v>89</v>
      </c>
      <c r="L104" s="1" t="s">
        <v>78</v>
      </c>
      <c r="M104" s="2">
        <v>45332</v>
      </c>
      <c r="N104" s="3">
        <v>249.99</v>
      </c>
      <c r="O104" s="4"/>
      <c r="P104" s="5"/>
    </row>
    <row r="105" spans="1:16" ht="29.5" thickBot="1" x14ac:dyDescent="0.4">
      <c r="A105" s="1" t="s">
        <v>286</v>
      </c>
      <c r="B105" s="2">
        <v>45538</v>
      </c>
      <c r="C105" s="1" t="s">
        <v>274</v>
      </c>
      <c r="D105" s="1" t="s">
        <v>275</v>
      </c>
      <c r="E105" s="1" t="s">
        <v>128</v>
      </c>
      <c r="F105" s="1" t="s">
        <v>129</v>
      </c>
      <c r="G105" s="1" t="s">
        <v>28</v>
      </c>
      <c r="H105" s="3">
        <v>2</v>
      </c>
      <c r="I105" s="3">
        <v>699.99</v>
      </c>
      <c r="J105" s="1" t="s">
        <v>105</v>
      </c>
      <c r="K105" s="1" t="s">
        <v>72</v>
      </c>
      <c r="L105" s="1" t="s">
        <v>78</v>
      </c>
      <c r="M105" s="2">
        <v>44870</v>
      </c>
      <c r="N105" s="3">
        <v>1399.98</v>
      </c>
      <c r="O105" s="4"/>
      <c r="P105" s="5"/>
    </row>
    <row r="106" spans="1:16" ht="29.5" thickBot="1" x14ac:dyDescent="0.4">
      <c r="A106" s="1" t="s">
        <v>287</v>
      </c>
      <c r="B106" s="2">
        <v>45541</v>
      </c>
      <c r="C106" s="1" t="s">
        <v>186</v>
      </c>
      <c r="D106" s="1" t="s">
        <v>187</v>
      </c>
      <c r="E106" s="1" t="s">
        <v>82</v>
      </c>
      <c r="F106" s="1" t="s">
        <v>83</v>
      </c>
      <c r="G106" s="1" t="s">
        <v>27</v>
      </c>
      <c r="H106" s="3">
        <v>3</v>
      </c>
      <c r="I106" s="3">
        <v>59.99</v>
      </c>
      <c r="J106" s="1" t="s">
        <v>77</v>
      </c>
      <c r="K106" s="1" t="s">
        <v>72</v>
      </c>
      <c r="L106" s="1" t="s">
        <v>78</v>
      </c>
      <c r="M106" s="2">
        <v>44717</v>
      </c>
      <c r="N106" s="3">
        <v>179.97</v>
      </c>
      <c r="O106" s="4"/>
      <c r="P106" s="5"/>
    </row>
    <row r="107" spans="1:16" ht="29.5" thickBot="1" x14ac:dyDescent="0.4">
      <c r="A107" s="1" t="s">
        <v>288</v>
      </c>
      <c r="B107" s="2">
        <v>45544</v>
      </c>
      <c r="C107" s="1" t="s">
        <v>180</v>
      </c>
      <c r="D107" s="1" t="s">
        <v>181</v>
      </c>
      <c r="E107" s="1" t="s">
        <v>82</v>
      </c>
      <c r="F107" s="1" t="s">
        <v>83</v>
      </c>
      <c r="G107" s="1" t="s">
        <v>27</v>
      </c>
      <c r="H107" s="3">
        <v>3</v>
      </c>
      <c r="I107" s="3">
        <v>59.99</v>
      </c>
      <c r="J107" s="1" t="s">
        <v>84</v>
      </c>
      <c r="K107" s="1" t="s">
        <v>111</v>
      </c>
      <c r="L107" s="1" t="s">
        <v>85</v>
      </c>
      <c r="M107" s="2">
        <v>44748</v>
      </c>
      <c r="N107" s="3">
        <v>179.97</v>
      </c>
      <c r="O107" s="4"/>
      <c r="P107" s="5"/>
    </row>
    <row r="108" spans="1:16" ht="29.5" thickBot="1" x14ac:dyDescent="0.4">
      <c r="A108" s="1" t="s">
        <v>289</v>
      </c>
      <c r="B108" s="2">
        <v>45544</v>
      </c>
      <c r="C108" s="1" t="s">
        <v>189</v>
      </c>
      <c r="D108" s="1" t="s">
        <v>190</v>
      </c>
      <c r="E108" s="1" t="s">
        <v>162</v>
      </c>
      <c r="F108" s="1" t="s">
        <v>163</v>
      </c>
      <c r="G108" s="1" t="s">
        <v>27</v>
      </c>
      <c r="H108" s="3">
        <v>4</v>
      </c>
      <c r="I108" s="3">
        <v>79.989999999999995</v>
      </c>
      <c r="J108" s="1" t="s">
        <v>71</v>
      </c>
      <c r="K108" s="1" t="s">
        <v>89</v>
      </c>
      <c r="L108" s="1" t="s">
        <v>73</v>
      </c>
      <c r="M108" s="2">
        <v>44530</v>
      </c>
      <c r="N108" s="3">
        <v>319.95999999999998</v>
      </c>
      <c r="O108" s="4"/>
      <c r="P108" s="5"/>
    </row>
    <row r="109" spans="1:16" ht="29.5" thickBot="1" x14ac:dyDescent="0.4">
      <c r="A109" s="1" t="s">
        <v>290</v>
      </c>
      <c r="B109" s="2">
        <v>45545</v>
      </c>
      <c r="C109" s="1" t="s">
        <v>103</v>
      </c>
      <c r="D109" s="1" t="s">
        <v>104</v>
      </c>
      <c r="E109" s="1" t="s">
        <v>162</v>
      </c>
      <c r="F109" s="1" t="s">
        <v>163</v>
      </c>
      <c r="G109" s="1" t="s">
        <v>27</v>
      </c>
      <c r="H109" s="3">
        <v>1</v>
      </c>
      <c r="I109" s="3">
        <v>79.989999999999995</v>
      </c>
      <c r="J109" s="1" t="s">
        <v>71</v>
      </c>
      <c r="K109" s="1" t="s">
        <v>98</v>
      </c>
      <c r="L109" s="1" t="s">
        <v>73</v>
      </c>
      <c r="M109" s="2">
        <v>44693</v>
      </c>
      <c r="N109" s="3">
        <v>79.989999999999995</v>
      </c>
      <c r="O109" s="4"/>
      <c r="P109" s="5"/>
    </row>
    <row r="110" spans="1:16" ht="29.5" thickBot="1" x14ac:dyDescent="0.4">
      <c r="A110" s="1" t="s">
        <v>291</v>
      </c>
      <c r="B110" s="2">
        <v>45547</v>
      </c>
      <c r="C110" s="1" t="s">
        <v>96</v>
      </c>
      <c r="D110" s="1" t="s">
        <v>97</v>
      </c>
      <c r="E110" s="1" t="s">
        <v>153</v>
      </c>
      <c r="F110" s="1" t="s">
        <v>154</v>
      </c>
      <c r="G110" s="1" t="s">
        <v>29</v>
      </c>
      <c r="H110" s="3">
        <v>3</v>
      </c>
      <c r="I110" s="3">
        <v>299.99</v>
      </c>
      <c r="J110" s="1" t="s">
        <v>77</v>
      </c>
      <c r="K110" s="1" t="s">
        <v>72</v>
      </c>
      <c r="L110" s="1" t="s">
        <v>78</v>
      </c>
      <c r="M110" s="2">
        <v>44494</v>
      </c>
      <c r="N110" s="3">
        <v>899.97</v>
      </c>
      <c r="O110" s="4"/>
      <c r="P110" s="5"/>
    </row>
    <row r="111" spans="1:16" ht="29.5" thickBot="1" x14ac:dyDescent="0.4">
      <c r="A111" s="1" t="s">
        <v>292</v>
      </c>
      <c r="B111" s="2">
        <v>45548</v>
      </c>
      <c r="C111" s="1" t="s">
        <v>87</v>
      </c>
      <c r="D111" s="1" t="s">
        <v>88</v>
      </c>
      <c r="E111" s="1" t="s">
        <v>165</v>
      </c>
      <c r="F111" s="1" t="s">
        <v>166</v>
      </c>
      <c r="G111" s="1" t="s">
        <v>28</v>
      </c>
      <c r="H111" s="3">
        <v>2</v>
      </c>
      <c r="I111" s="3">
        <v>89.99</v>
      </c>
      <c r="J111" s="1" t="s">
        <v>77</v>
      </c>
      <c r="K111" s="1" t="s">
        <v>52</v>
      </c>
      <c r="L111" s="1" t="s">
        <v>78</v>
      </c>
      <c r="M111" s="2">
        <v>44641</v>
      </c>
      <c r="N111" s="3">
        <v>179.98</v>
      </c>
      <c r="O111" s="4"/>
      <c r="P111" s="5"/>
    </row>
    <row r="112" spans="1:16" ht="29.5" thickBot="1" x14ac:dyDescent="0.4">
      <c r="A112" s="1" t="s">
        <v>293</v>
      </c>
      <c r="B112" s="2">
        <v>45550</v>
      </c>
      <c r="C112" s="1" t="s">
        <v>294</v>
      </c>
      <c r="D112" s="1" t="s">
        <v>295</v>
      </c>
      <c r="E112" s="1" t="s">
        <v>100</v>
      </c>
      <c r="F112" s="1" t="s">
        <v>101</v>
      </c>
      <c r="G112" s="1" t="s">
        <v>28</v>
      </c>
      <c r="H112" s="3">
        <v>4</v>
      </c>
      <c r="I112" s="3">
        <v>149.99</v>
      </c>
      <c r="J112" s="1" t="s">
        <v>71</v>
      </c>
      <c r="K112" s="1" t="s">
        <v>89</v>
      </c>
      <c r="L112" s="1" t="s">
        <v>73</v>
      </c>
      <c r="M112" s="2">
        <v>44909</v>
      </c>
      <c r="N112" s="3">
        <v>599.96</v>
      </c>
      <c r="O112" s="4"/>
      <c r="P112" s="5"/>
    </row>
    <row r="113" spans="1:16" ht="29.5" thickBot="1" x14ac:dyDescent="0.4">
      <c r="A113" s="1" t="s">
        <v>296</v>
      </c>
      <c r="B113" s="2">
        <v>45551</v>
      </c>
      <c r="C113" s="1" t="s">
        <v>113</v>
      </c>
      <c r="D113" s="1" t="s">
        <v>114</v>
      </c>
      <c r="E113" s="1" t="s">
        <v>69</v>
      </c>
      <c r="F113" s="1" t="s">
        <v>70</v>
      </c>
      <c r="G113" s="1" t="s">
        <v>28</v>
      </c>
      <c r="H113" s="3">
        <v>2</v>
      </c>
      <c r="I113" s="3">
        <v>249.99</v>
      </c>
      <c r="J113" s="1" t="s">
        <v>84</v>
      </c>
      <c r="K113" s="1" t="s">
        <v>52</v>
      </c>
      <c r="L113" s="1" t="s">
        <v>73</v>
      </c>
      <c r="M113" s="2">
        <v>44993</v>
      </c>
      <c r="N113" s="3">
        <v>499.98</v>
      </c>
      <c r="O113" s="4"/>
      <c r="P113" s="5"/>
    </row>
    <row r="114" spans="1:16" ht="29.5" thickBot="1" x14ac:dyDescent="0.4">
      <c r="A114" s="1" t="s">
        <v>297</v>
      </c>
      <c r="B114" s="2">
        <v>45551</v>
      </c>
      <c r="C114" s="1" t="s">
        <v>202</v>
      </c>
      <c r="D114" s="1" t="s">
        <v>203</v>
      </c>
      <c r="E114" s="1" t="s">
        <v>174</v>
      </c>
      <c r="F114" s="1" t="s">
        <v>175</v>
      </c>
      <c r="G114" s="1" t="s">
        <v>29</v>
      </c>
      <c r="H114" s="3">
        <v>4</v>
      </c>
      <c r="I114" s="3">
        <v>199.99</v>
      </c>
      <c r="J114" s="1" t="s">
        <v>105</v>
      </c>
      <c r="K114" s="1" t="s">
        <v>111</v>
      </c>
      <c r="L114" s="1" t="s">
        <v>73</v>
      </c>
      <c r="M114" s="2">
        <v>44458</v>
      </c>
      <c r="N114" s="3">
        <v>799.96</v>
      </c>
      <c r="O114" s="4"/>
      <c r="P114" s="5"/>
    </row>
    <row r="115" spans="1:16" ht="29.5" thickBot="1" x14ac:dyDescent="0.4">
      <c r="A115" s="1" t="s">
        <v>298</v>
      </c>
      <c r="B115" s="2">
        <v>45554</v>
      </c>
      <c r="C115" s="1" t="s">
        <v>195</v>
      </c>
      <c r="D115" s="1" t="s">
        <v>196</v>
      </c>
      <c r="E115" s="1" t="s">
        <v>165</v>
      </c>
      <c r="F115" s="1" t="s">
        <v>166</v>
      </c>
      <c r="G115" s="1" t="s">
        <v>28</v>
      </c>
      <c r="H115" s="3">
        <v>5</v>
      </c>
      <c r="I115" s="3">
        <v>89.99</v>
      </c>
      <c r="J115" s="1" t="s">
        <v>77</v>
      </c>
      <c r="K115" s="1" t="s">
        <v>111</v>
      </c>
      <c r="L115" s="1" t="s">
        <v>78</v>
      </c>
      <c r="M115" s="2">
        <v>44446</v>
      </c>
      <c r="N115" s="3">
        <v>449.95</v>
      </c>
      <c r="O115" s="4"/>
      <c r="P115" s="5"/>
    </row>
    <row r="116" spans="1:16" ht="29.5" thickBot="1" x14ac:dyDescent="0.4">
      <c r="A116" s="1" t="s">
        <v>299</v>
      </c>
      <c r="B116" s="2">
        <v>45554</v>
      </c>
      <c r="C116" s="1" t="s">
        <v>300</v>
      </c>
      <c r="D116" s="1" t="s">
        <v>301</v>
      </c>
      <c r="E116" s="1" t="s">
        <v>100</v>
      </c>
      <c r="F116" s="1" t="s">
        <v>101</v>
      </c>
      <c r="G116" s="1" t="s">
        <v>28</v>
      </c>
      <c r="H116" s="3">
        <v>1</v>
      </c>
      <c r="I116" s="3">
        <v>149.99</v>
      </c>
      <c r="J116" s="1" t="s">
        <v>84</v>
      </c>
      <c r="K116" s="1" t="s">
        <v>111</v>
      </c>
      <c r="L116" s="1" t="s">
        <v>85</v>
      </c>
      <c r="M116" s="2">
        <v>44482</v>
      </c>
      <c r="N116" s="3">
        <v>149.99</v>
      </c>
      <c r="O116" s="4"/>
      <c r="P116" s="5"/>
    </row>
    <row r="117" spans="1:16" ht="44" thickBot="1" x14ac:dyDescent="0.4">
      <c r="A117" s="1" t="s">
        <v>302</v>
      </c>
      <c r="B117" s="2">
        <v>45554</v>
      </c>
      <c r="C117" s="1" t="s">
        <v>120</v>
      </c>
      <c r="D117" s="1" t="s">
        <v>121</v>
      </c>
      <c r="E117" s="1" t="s">
        <v>128</v>
      </c>
      <c r="F117" s="1" t="s">
        <v>129</v>
      </c>
      <c r="G117" s="1" t="s">
        <v>28</v>
      </c>
      <c r="H117" s="3">
        <v>4</v>
      </c>
      <c r="I117" s="3">
        <v>699.99</v>
      </c>
      <c r="J117" s="1" t="s">
        <v>84</v>
      </c>
      <c r="K117" s="1" t="s">
        <v>52</v>
      </c>
      <c r="L117" s="1" t="s">
        <v>73</v>
      </c>
      <c r="M117" s="2">
        <v>44618</v>
      </c>
      <c r="N117" s="3">
        <v>2799.96</v>
      </c>
      <c r="O117" s="4"/>
      <c r="P117" s="5"/>
    </row>
    <row r="118" spans="1:16" ht="29.5" thickBot="1" x14ac:dyDescent="0.4">
      <c r="A118" s="1" t="s">
        <v>303</v>
      </c>
      <c r="B118" s="2">
        <v>45559</v>
      </c>
      <c r="C118" s="1" t="s">
        <v>282</v>
      </c>
      <c r="D118" s="1" t="s">
        <v>283</v>
      </c>
      <c r="E118" s="1" t="s">
        <v>109</v>
      </c>
      <c r="F118" s="1" t="s">
        <v>110</v>
      </c>
      <c r="G118" s="1" t="s">
        <v>28</v>
      </c>
      <c r="H118" s="3">
        <v>3</v>
      </c>
      <c r="I118" s="3">
        <v>899.99</v>
      </c>
      <c r="J118" s="1" t="s">
        <v>77</v>
      </c>
      <c r="K118" s="1" t="s">
        <v>89</v>
      </c>
      <c r="L118" s="1" t="s">
        <v>85</v>
      </c>
      <c r="M118" s="2">
        <v>45157</v>
      </c>
      <c r="N118" s="3">
        <v>2699.97</v>
      </c>
      <c r="O118" s="4"/>
      <c r="P118" s="5"/>
    </row>
    <row r="119" spans="1:16" ht="29.5" thickBot="1" x14ac:dyDescent="0.4">
      <c r="A119" s="1" t="s">
        <v>304</v>
      </c>
      <c r="B119" s="2">
        <v>45560</v>
      </c>
      <c r="C119" s="1" t="s">
        <v>160</v>
      </c>
      <c r="D119" s="1" t="s">
        <v>161</v>
      </c>
      <c r="E119" s="1" t="s">
        <v>93</v>
      </c>
      <c r="F119" s="1" t="s">
        <v>94</v>
      </c>
      <c r="G119" s="1" t="s">
        <v>29</v>
      </c>
      <c r="H119" s="3">
        <v>3</v>
      </c>
      <c r="I119" s="3">
        <v>149.99</v>
      </c>
      <c r="J119" s="1" t="s">
        <v>84</v>
      </c>
      <c r="K119" s="1" t="s">
        <v>111</v>
      </c>
      <c r="L119" s="1" t="s">
        <v>73</v>
      </c>
      <c r="M119" s="2">
        <v>44886</v>
      </c>
      <c r="N119" s="3">
        <v>449.97</v>
      </c>
      <c r="O119" s="4"/>
      <c r="P119" s="5"/>
    </row>
    <row r="120" spans="1:16" ht="29.5" thickBot="1" x14ac:dyDescent="0.4">
      <c r="A120" s="1" t="s">
        <v>305</v>
      </c>
      <c r="B120" s="2">
        <v>45563</v>
      </c>
      <c r="C120" s="1" t="s">
        <v>147</v>
      </c>
      <c r="D120" s="1" t="s">
        <v>148</v>
      </c>
      <c r="E120" s="1" t="s">
        <v>153</v>
      </c>
      <c r="F120" s="1" t="s">
        <v>154</v>
      </c>
      <c r="G120" s="1" t="s">
        <v>29</v>
      </c>
      <c r="H120" s="3">
        <v>2</v>
      </c>
      <c r="I120" s="3">
        <v>299.99</v>
      </c>
      <c r="J120" s="1" t="s">
        <v>105</v>
      </c>
      <c r="K120" s="1" t="s">
        <v>72</v>
      </c>
      <c r="L120" s="1" t="s">
        <v>73</v>
      </c>
      <c r="M120" s="2">
        <v>44569</v>
      </c>
      <c r="N120" s="3">
        <v>599.98</v>
      </c>
      <c r="O120" s="4"/>
      <c r="P120" s="5"/>
    </row>
    <row r="121" spans="1:16" ht="29.5" thickBot="1" x14ac:dyDescent="0.4">
      <c r="A121" s="1" t="s">
        <v>306</v>
      </c>
      <c r="B121" s="2">
        <v>45564</v>
      </c>
      <c r="C121" s="1" t="s">
        <v>307</v>
      </c>
      <c r="D121" s="1" t="s">
        <v>308</v>
      </c>
      <c r="E121" s="1" t="s">
        <v>174</v>
      </c>
      <c r="F121" s="1" t="s">
        <v>175</v>
      </c>
      <c r="G121" s="1" t="s">
        <v>29</v>
      </c>
      <c r="H121" s="3">
        <v>1</v>
      </c>
      <c r="I121" s="3">
        <v>199.99</v>
      </c>
      <c r="J121" s="1" t="s">
        <v>105</v>
      </c>
      <c r="K121" s="1" t="s">
        <v>111</v>
      </c>
      <c r="L121" s="1" t="s">
        <v>85</v>
      </c>
      <c r="M121" s="2">
        <v>44953</v>
      </c>
      <c r="N121" s="3">
        <v>199.99</v>
      </c>
      <c r="O121" s="4"/>
      <c r="P121" s="5"/>
    </row>
    <row r="122" spans="1:16" ht="29.5" thickBot="1" x14ac:dyDescent="0.4">
      <c r="A122" s="1" t="s">
        <v>309</v>
      </c>
      <c r="B122" s="2">
        <v>45566</v>
      </c>
      <c r="C122" s="1" t="s">
        <v>91</v>
      </c>
      <c r="D122" s="1" t="s">
        <v>92</v>
      </c>
      <c r="E122" s="1" t="s">
        <v>153</v>
      </c>
      <c r="F122" s="1" t="s">
        <v>154</v>
      </c>
      <c r="G122" s="1" t="s">
        <v>29</v>
      </c>
      <c r="H122" s="3">
        <v>4</v>
      </c>
      <c r="I122" s="3">
        <v>299.99</v>
      </c>
      <c r="J122" s="1" t="s">
        <v>71</v>
      </c>
      <c r="K122" s="1" t="s">
        <v>72</v>
      </c>
      <c r="L122" s="1" t="s">
        <v>78</v>
      </c>
      <c r="M122" s="2">
        <v>44460</v>
      </c>
      <c r="N122" s="3">
        <v>1199.96</v>
      </c>
      <c r="O122" s="4"/>
      <c r="P122" s="5"/>
    </row>
    <row r="123" spans="1:16" ht="29.5" thickBot="1" x14ac:dyDescent="0.4">
      <c r="A123" s="1" t="s">
        <v>310</v>
      </c>
      <c r="B123" s="2">
        <v>45572</v>
      </c>
      <c r="C123" s="1" t="s">
        <v>137</v>
      </c>
      <c r="D123" s="1" t="s">
        <v>138</v>
      </c>
      <c r="E123" s="1" t="s">
        <v>82</v>
      </c>
      <c r="F123" s="1" t="s">
        <v>83</v>
      </c>
      <c r="G123" s="1" t="s">
        <v>27</v>
      </c>
      <c r="H123" s="3">
        <v>2</v>
      </c>
      <c r="I123" s="3">
        <v>59.99</v>
      </c>
      <c r="J123" s="1" t="s">
        <v>77</v>
      </c>
      <c r="K123" s="1" t="s">
        <v>72</v>
      </c>
      <c r="L123" s="1" t="s">
        <v>73</v>
      </c>
      <c r="M123" s="2">
        <v>44579</v>
      </c>
      <c r="N123" s="3">
        <v>119.98</v>
      </c>
      <c r="O123" s="4"/>
      <c r="P123" s="5"/>
    </row>
    <row r="124" spans="1:16" ht="29.5" thickBot="1" x14ac:dyDescent="0.4">
      <c r="A124" s="1" t="s">
        <v>311</v>
      </c>
      <c r="B124" s="2">
        <v>45572</v>
      </c>
      <c r="C124" s="1" t="s">
        <v>282</v>
      </c>
      <c r="D124" s="1" t="s">
        <v>283</v>
      </c>
      <c r="E124" s="1" t="s">
        <v>100</v>
      </c>
      <c r="F124" s="1" t="s">
        <v>101</v>
      </c>
      <c r="G124" s="1" t="s">
        <v>28</v>
      </c>
      <c r="H124" s="3">
        <v>4</v>
      </c>
      <c r="I124" s="3">
        <v>149.99</v>
      </c>
      <c r="J124" s="1" t="s">
        <v>77</v>
      </c>
      <c r="K124" s="1" t="s">
        <v>89</v>
      </c>
      <c r="L124" s="1" t="s">
        <v>78</v>
      </c>
      <c r="M124" s="2">
        <v>45076</v>
      </c>
      <c r="N124" s="3">
        <v>599.96</v>
      </c>
      <c r="O124" s="4"/>
      <c r="P124" s="5"/>
    </row>
    <row r="125" spans="1:16" ht="29.5" thickBot="1" x14ac:dyDescent="0.4">
      <c r="A125" s="1" t="s">
        <v>312</v>
      </c>
      <c r="B125" s="2">
        <v>45573</v>
      </c>
      <c r="C125" s="1" t="s">
        <v>259</v>
      </c>
      <c r="D125" s="1" t="s">
        <v>260</v>
      </c>
      <c r="E125" s="1" t="s">
        <v>128</v>
      </c>
      <c r="F125" s="1" t="s">
        <v>129</v>
      </c>
      <c r="G125" s="1" t="s">
        <v>28</v>
      </c>
      <c r="H125" s="3">
        <v>2</v>
      </c>
      <c r="I125" s="3">
        <v>699.99</v>
      </c>
      <c r="J125" s="1" t="s">
        <v>105</v>
      </c>
      <c r="K125" s="1" t="s">
        <v>111</v>
      </c>
      <c r="L125" s="1" t="s">
        <v>78</v>
      </c>
      <c r="M125" s="2">
        <v>45274</v>
      </c>
      <c r="N125" s="3">
        <v>1399.98</v>
      </c>
      <c r="O125" s="4"/>
      <c r="P125" s="5"/>
    </row>
    <row r="126" spans="1:16" ht="29.5" thickBot="1" x14ac:dyDescent="0.4">
      <c r="A126" s="1" t="s">
        <v>313</v>
      </c>
      <c r="B126" s="2">
        <v>45573</v>
      </c>
      <c r="C126" s="1" t="s">
        <v>279</v>
      </c>
      <c r="D126" s="1" t="s">
        <v>280</v>
      </c>
      <c r="E126" s="1" t="s">
        <v>93</v>
      </c>
      <c r="F126" s="1" t="s">
        <v>94</v>
      </c>
      <c r="G126" s="1" t="s">
        <v>29</v>
      </c>
      <c r="H126" s="3">
        <v>3</v>
      </c>
      <c r="I126" s="3">
        <v>149.99</v>
      </c>
      <c r="J126" s="1" t="s">
        <v>77</v>
      </c>
      <c r="K126" s="1" t="s">
        <v>52</v>
      </c>
      <c r="L126" s="1" t="s">
        <v>85</v>
      </c>
      <c r="M126" s="2">
        <v>44940</v>
      </c>
      <c r="N126" s="3">
        <v>449.97</v>
      </c>
      <c r="O126" s="4"/>
      <c r="P126" s="5"/>
    </row>
    <row r="127" spans="1:16" ht="29.5" thickBot="1" x14ac:dyDescent="0.4">
      <c r="A127" s="1" t="s">
        <v>314</v>
      </c>
      <c r="B127" s="2">
        <v>45576</v>
      </c>
      <c r="C127" s="1" t="s">
        <v>195</v>
      </c>
      <c r="D127" s="1" t="s">
        <v>196</v>
      </c>
      <c r="E127" s="1" t="s">
        <v>153</v>
      </c>
      <c r="F127" s="1" t="s">
        <v>154</v>
      </c>
      <c r="G127" s="1" t="s">
        <v>29</v>
      </c>
      <c r="H127" s="3">
        <v>3</v>
      </c>
      <c r="I127" s="3">
        <v>299.99</v>
      </c>
      <c r="J127" s="1" t="s">
        <v>77</v>
      </c>
      <c r="K127" s="1" t="s">
        <v>72</v>
      </c>
      <c r="L127" s="1" t="s">
        <v>85</v>
      </c>
      <c r="M127" s="2">
        <v>45174</v>
      </c>
      <c r="N127" s="3">
        <v>899.97</v>
      </c>
      <c r="O127" s="4"/>
      <c r="P127" s="5"/>
    </row>
    <row r="128" spans="1:16" ht="29.5" thickBot="1" x14ac:dyDescent="0.4">
      <c r="A128" s="1" t="s">
        <v>315</v>
      </c>
      <c r="B128" s="2">
        <v>45579</v>
      </c>
      <c r="C128" s="1" t="s">
        <v>131</v>
      </c>
      <c r="D128" s="1" t="s">
        <v>132</v>
      </c>
      <c r="E128" s="1" t="s">
        <v>109</v>
      </c>
      <c r="F128" s="1" t="s">
        <v>110</v>
      </c>
      <c r="G128" s="1" t="s">
        <v>28</v>
      </c>
      <c r="H128" s="3">
        <v>3</v>
      </c>
      <c r="I128" s="3">
        <v>899.99</v>
      </c>
      <c r="J128" s="1" t="s">
        <v>84</v>
      </c>
      <c r="K128" s="1" t="s">
        <v>98</v>
      </c>
      <c r="L128" s="1" t="s">
        <v>73</v>
      </c>
      <c r="M128" s="2">
        <v>45215</v>
      </c>
      <c r="N128" s="3">
        <v>2699.97</v>
      </c>
      <c r="O128" s="4"/>
      <c r="P128" s="5"/>
    </row>
    <row r="129" spans="1:16" ht="29.5" thickBot="1" x14ac:dyDescent="0.4">
      <c r="A129" s="1" t="s">
        <v>316</v>
      </c>
      <c r="B129" s="2">
        <v>45581</v>
      </c>
      <c r="C129" s="1" t="s">
        <v>144</v>
      </c>
      <c r="D129" s="1" t="s">
        <v>145</v>
      </c>
      <c r="E129" s="1" t="s">
        <v>128</v>
      </c>
      <c r="F129" s="1" t="s">
        <v>129</v>
      </c>
      <c r="G129" s="1" t="s">
        <v>28</v>
      </c>
      <c r="H129" s="3">
        <v>5</v>
      </c>
      <c r="I129" s="3">
        <v>699.99</v>
      </c>
      <c r="J129" s="1" t="s">
        <v>71</v>
      </c>
      <c r="K129" s="1" t="s">
        <v>111</v>
      </c>
      <c r="L129" s="1" t="s">
        <v>85</v>
      </c>
      <c r="M129" s="2">
        <v>45008</v>
      </c>
      <c r="N129" s="3">
        <v>3499.95</v>
      </c>
      <c r="O129" s="4"/>
      <c r="P129" s="5"/>
    </row>
    <row r="130" spans="1:16" ht="29.5" thickBot="1" x14ac:dyDescent="0.4">
      <c r="A130" s="1" t="s">
        <v>317</v>
      </c>
      <c r="B130" s="2">
        <v>45581</v>
      </c>
      <c r="C130" s="1" t="s">
        <v>219</v>
      </c>
      <c r="D130" s="1" t="s">
        <v>220</v>
      </c>
      <c r="E130" s="1" t="s">
        <v>128</v>
      </c>
      <c r="F130" s="1" t="s">
        <v>129</v>
      </c>
      <c r="G130" s="1" t="s">
        <v>28</v>
      </c>
      <c r="H130" s="3">
        <v>4</v>
      </c>
      <c r="I130" s="3">
        <v>699.99</v>
      </c>
      <c r="J130" s="1" t="s">
        <v>77</v>
      </c>
      <c r="K130" s="1" t="s">
        <v>72</v>
      </c>
      <c r="L130" s="1" t="s">
        <v>73</v>
      </c>
      <c r="M130" s="2">
        <v>45385</v>
      </c>
      <c r="N130" s="3">
        <v>2799.96</v>
      </c>
      <c r="O130" s="4"/>
      <c r="P130" s="5"/>
    </row>
    <row r="131" spans="1:16" ht="29.5" thickBot="1" x14ac:dyDescent="0.4">
      <c r="A131" s="1" t="s">
        <v>318</v>
      </c>
      <c r="B131" s="2">
        <v>45581</v>
      </c>
      <c r="C131" s="1" t="s">
        <v>198</v>
      </c>
      <c r="D131" s="1" t="s">
        <v>199</v>
      </c>
      <c r="E131" s="1" t="s">
        <v>109</v>
      </c>
      <c r="F131" s="1" t="s">
        <v>110</v>
      </c>
      <c r="G131" s="1" t="s">
        <v>28</v>
      </c>
      <c r="H131" s="3">
        <v>1</v>
      </c>
      <c r="I131" s="3">
        <v>899.99</v>
      </c>
      <c r="J131" s="1" t="s">
        <v>77</v>
      </c>
      <c r="K131" s="1" t="s">
        <v>111</v>
      </c>
      <c r="L131" s="1" t="s">
        <v>85</v>
      </c>
      <c r="M131" s="2">
        <v>45369</v>
      </c>
      <c r="N131" s="3">
        <v>899.99</v>
      </c>
      <c r="O131" s="4"/>
      <c r="P131" s="5"/>
    </row>
    <row r="132" spans="1:16" ht="29.5" thickBot="1" x14ac:dyDescent="0.4">
      <c r="A132" s="1" t="s">
        <v>319</v>
      </c>
      <c r="B132" s="2">
        <v>45583</v>
      </c>
      <c r="C132" s="1" t="s">
        <v>274</v>
      </c>
      <c r="D132" s="1" t="s">
        <v>275</v>
      </c>
      <c r="E132" s="1" t="s">
        <v>100</v>
      </c>
      <c r="F132" s="1" t="s">
        <v>101</v>
      </c>
      <c r="G132" s="1" t="s">
        <v>28</v>
      </c>
      <c r="H132" s="3">
        <v>2</v>
      </c>
      <c r="I132" s="3">
        <v>149.99</v>
      </c>
      <c r="J132" s="1" t="s">
        <v>77</v>
      </c>
      <c r="K132" s="1" t="s">
        <v>98</v>
      </c>
      <c r="L132" s="1" t="s">
        <v>73</v>
      </c>
      <c r="M132" s="2">
        <v>44916</v>
      </c>
      <c r="N132" s="3">
        <v>299.98</v>
      </c>
      <c r="O132" s="4"/>
      <c r="P132" s="5"/>
    </row>
    <row r="133" spans="1:16" ht="29.5" thickBot="1" x14ac:dyDescent="0.4">
      <c r="A133" s="1" t="s">
        <v>320</v>
      </c>
      <c r="B133" s="2">
        <v>45586</v>
      </c>
      <c r="C133" s="1" t="s">
        <v>274</v>
      </c>
      <c r="D133" s="1" t="s">
        <v>275</v>
      </c>
      <c r="E133" s="1" t="s">
        <v>165</v>
      </c>
      <c r="F133" s="1" t="s">
        <v>166</v>
      </c>
      <c r="G133" s="1" t="s">
        <v>28</v>
      </c>
      <c r="H133" s="3">
        <v>3</v>
      </c>
      <c r="I133" s="3">
        <v>89.99</v>
      </c>
      <c r="J133" s="1" t="s">
        <v>84</v>
      </c>
      <c r="K133" s="1" t="s">
        <v>72</v>
      </c>
      <c r="L133" s="1" t="s">
        <v>73</v>
      </c>
      <c r="M133" s="2">
        <v>44551</v>
      </c>
      <c r="N133" s="3">
        <v>269.97000000000003</v>
      </c>
      <c r="O133" s="4"/>
      <c r="P133" s="5"/>
    </row>
    <row r="134" spans="1:16" ht="29.5" thickBot="1" x14ac:dyDescent="0.4">
      <c r="A134" s="1" t="s">
        <v>321</v>
      </c>
      <c r="B134" s="2">
        <v>45588</v>
      </c>
      <c r="C134" s="1" t="s">
        <v>87</v>
      </c>
      <c r="D134" s="1" t="s">
        <v>88</v>
      </c>
      <c r="E134" s="1" t="s">
        <v>100</v>
      </c>
      <c r="F134" s="1" t="s">
        <v>101</v>
      </c>
      <c r="G134" s="1" t="s">
        <v>28</v>
      </c>
      <c r="H134" s="3">
        <v>2</v>
      </c>
      <c r="I134" s="3">
        <v>149.99</v>
      </c>
      <c r="J134" s="1" t="s">
        <v>84</v>
      </c>
      <c r="K134" s="1" t="s">
        <v>72</v>
      </c>
      <c r="L134" s="1" t="s">
        <v>73</v>
      </c>
      <c r="M134" s="2">
        <v>44473</v>
      </c>
      <c r="N134" s="3">
        <v>299.98</v>
      </c>
      <c r="O134" s="4"/>
      <c r="P134" s="5"/>
    </row>
    <row r="135" spans="1:16" ht="29.5" thickBot="1" x14ac:dyDescent="0.4">
      <c r="A135" s="1" t="s">
        <v>322</v>
      </c>
      <c r="B135" s="2">
        <v>45588</v>
      </c>
      <c r="C135" s="1" t="s">
        <v>202</v>
      </c>
      <c r="D135" s="1" t="s">
        <v>203</v>
      </c>
      <c r="E135" s="1" t="s">
        <v>128</v>
      </c>
      <c r="F135" s="1" t="s">
        <v>129</v>
      </c>
      <c r="G135" s="1" t="s">
        <v>28</v>
      </c>
      <c r="H135" s="3">
        <v>2</v>
      </c>
      <c r="I135" s="3">
        <v>699.99</v>
      </c>
      <c r="J135" s="1" t="s">
        <v>71</v>
      </c>
      <c r="K135" s="1" t="s">
        <v>72</v>
      </c>
      <c r="L135" s="1" t="s">
        <v>73</v>
      </c>
      <c r="M135" s="2">
        <v>44992</v>
      </c>
      <c r="N135" s="3">
        <v>1399.98</v>
      </c>
      <c r="O135" s="4"/>
      <c r="P135" s="5"/>
    </row>
    <row r="136" spans="1:16" ht="29.5" thickBot="1" x14ac:dyDescent="0.4">
      <c r="A136" s="1" t="s">
        <v>323</v>
      </c>
      <c r="B136" s="2">
        <v>45589</v>
      </c>
      <c r="C136" s="1" t="s">
        <v>206</v>
      </c>
      <c r="D136" s="1" t="s">
        <v>207</v>
      </c>
      <c r="E136" s="1" t="s">
        <v>128</v>
      </c>
      <c r="F136" s="1" t="s">
        <v>129</v>
      </c>
      <c r="G136" s="1" t="s">
        <v>28</v>
      </c>
      <c r="H136" s="3">
        <v>5</v>
      </c>
      <c r="I136" s="3">
        <v>699.99</v>
      </c>
      <c r="J136" s="1" t="s">
        <v>71</v>
      </c>
      <c r="K136" s="1" t="s">
        <v>89</v>
      </c>
      <c r="L136" s="1" t="s">
        <v>78</v>
      </c>
      <c r="M136" s="2">
        <v>44635</v>
      </c>
      <c r="N136" s="3">
        <v>3499.95</v>
      </c>
      <c r="O136" s="4"/>
      <c r="P136" s="5"/>
    </row>
    <row r="137" spans="1:16" ht="29.5" thickBot="1" x14ac:dyDescent="0.4">
      <c r="A137" s="1" t="s">
        <v>324</v>
      </c>
      <c r="B137" s="2">
        <v>45592</v>
      </c>
      <c r="C137" s="1" t="s">
        <v>219</v>
      </c>
      <c r="D137" s="1" t="s">
        <v>220</v>
      </c>
      <c r="E137" s="1" t="s">
        <v>165</v>
      </c>
      <c r="F137" s="1" t="s">
        <v>166</v>
      </c>
      <c r="G137" s="1" t="s">
        <v>28</v>
      </c>
      <c r="H137" s="3">
        <v>3</v>
      </c>
      <c r="I137" s="3">
        <v>89.99</v>
      </c>
      <c r="J137" s="1" t="s">
        <v>77</v>
      </c>
      <c r="K137" s="1" t="s">
        <v>89</v>
      </c>
      <c r="L137" s="1" t="s">
        <v>85</v>
      </c>
      <c r="M137" s="2">
        <v>44615</v>
      </c>
      <c r="N137" s="3">
        <v>269.97000000000003</v>
      </c>
      <c r="O137" s="4"/>
      <c r="P137" s="5"/>
    </row>
    <row r="138" spans="1:16" ht="29.5" thickBot="1" x14ac:dyDescent="0.4">
      <c r="A138" s="1" t="s">
        <v>325</v>
      </c>
      <c r="B138" s="2">
        <v>45597</v>
      </c>
      <c r="C138" s="1" t="s">
        <v>67</v>
      </c>
      <c r="D138" s="1" t="s">
        <v>68</v>
      </c>
      <c r="E138" s="1" t="s">
        <v>69</v>
      </c>
      <c r="F138" s="1" t="s">
        <v>70</v>
      </c>
      <c r="G138" s="1" t="s">
        <v>28</v>
      </c>
      <c r="H138" s="3">
        <v>5</v>
      </c>
      <c r="I138" s="3">
        <v>249.99</v>
      </c>
      <c r="J138" s="1" t="s">
        <v>77</v>
      </c>
      <c r="K138" s="1" t="s">
        <v>52</v>
      </c>
      <c r="L138" s="1" t="s">
        <v>85</v>
      </c>
      <c r="M138" s="2">
        <v>44881</v>
      </c>
      <c r="N138" s="3">
        <v>1249.95</v>
      </c>
      <c r="O138" s="4"/>
      <c r="P138" s="5"/>
    </row>
    <row r="139" spans="1:16" ht="29.5" thickBot="1" x14ac:dyDescent="0.4">
      <c r="A139" s="1" t="s">
        <v>326</v>
      </c>
      <c r="B139" s="2">
        <v>45600</v>
      </c>
      <c r="C139" s="1" t="s">
        <v>113</v>
      </c>
      <c r="D139" s="1" t="s">
        <v>114</v>
      </c>
      <c r="E139" s="1" t="s">
        <v>153</v>
      </c>
      <c r="F139" s="1" t="s">
        <v>154</v>
      </c>
      <c r="G139" s="1" t="s">
        <v>29</v>
      </c>
      <c r="H139" s="3">
        <v>3</v>
      </c>
      <c r="I139" s="3">
        <v>299.99</v>
      </c>
      <c r="J139" s="1" t="s">
        <v>77</v>
      </c>
      <c r="K139" s="1" t="s">
        <v>52</v>
      </c>
      <c r="L139" s="1" t="s">
        <v>85</v>
      </c>
      <c r="M139" s="2">
        <v>44502</v>
      </c>
      <c r="N139" s="3">
        <v>899.97</v>
      </c>
      <c r="O139" s="4"/>
      <c r="P139" s="5"/>
    </row>
    <row r="140" spans="1:16" ht="29.5" thickBot="1" x14ac:dyDescent="0.4">
      <c r="A140" s="1" t="s">
        <v>327</v>
      </c>
      <c r="B140" s="2">
        <v>45603</v>
      </c>
      <c r="C140" s="1" t="s">
        <v>147</v>
      </c>
      <c r="D140" s="1" t="s">
        <v>148</v>
      </c>
      <c r="E140" s="1" t="s">
        <v>165</v>
      </c>
      <c r="F140" s="1" t="s">
        <v>166</v>
      </c>
      <c r="G140" s="1" t="s">
        <v>28</v>
      </c>
      <c r="H140" s="3">
        <v>3</v>
      </c>
      <c r="I140" s="3">
        <v>89.99</v>
      </c>
      <c r="J140" s="1" t="s">
        <v>77</v>
      </c>
      <c r="K140" s="1" t="s">
        <v>89</v>
      </c>
      <c r="L140" s="1" t="s">
        <v>78</v>
      </c>
      <c r="M140" s="2">
        <v>44420</v>
      </c>
      <c r="N140" s="3">
        <v>269.97000000000003</v>
      </c>
      <c r="O140" s="4"/>
      <c r="P140" s="5"/>
    </row>
    <row r="141" spans="1:16" ht="29.5" thickBot="1" x14ac:dyDescent="0.4">
      <c r="A141" s="1" t="s">
        <v>328</v>
      </c>
      <c r="B141" s="2">
        <v>45604</v>
      </c>
      <c r="C141" s="1" t="s">
        <v>137</v>
      </c>
      <c r="D141" s="1" t="s">
        <v>138</v>
      </c>
      <c r="E141" s="1" t="s">
        <v>93</v>
      </c>
      <c r="F141" s="1" t="s">
        <v>94</v>
      </c>
      <c r="G141" s="1" t="s">
        <v>29</v>
      </c>
      <c r="H141" s="3">
        <v>2</v>
      </c>
      <c r="I141" s="3">
        <v>149.99</v>
      </c>
      <c r="J141" s="1" t="s">
        <v>77</v>
      </c>
      <c r="K141" s="1" t="s">
        <v>98</v>
      </c>
      <c r="L141" s="1" t="s">
        <v>78</v>
      </c>
      <c r="M141" s="2">
        <v>44848</v>
      </c>
      <c r="N141" s="3">
        <v>299.98</v>
      </c>
      <c r="O141" s="4"/>
      <c r="P141" s="5"/>
    </row>
    <row r="142" spans="1:16" ht="29.5" thickBot="1" x14ac:dyDescent="0.4">
      <c r="A142" s="1" t="s">
        <v>329</v>
      </c>
      <c r="B142" s="2">
        <v>45605</v>
      </c>
      <c r="C142" s="1" t="s">
        <v>233</v>
      </c>
      <c r="D142" s="1" t="s">
        <v>234</v>
      </c>
      <c r="E142" s="1" t="s">
        <v>69</v>
      </c>
      <c r="F142" s="1" t="s">
        <v>70</v>
      </c>
      <c r="G142" s="1" t="s">
        <v>28</v>
      </c>
      <c r="H142" s="3">
        <v>1</v>
      </c>
      <c r="I142" s="3">
        <v>249.99</v>
      </c>
      <c r="J142" s="1" t="s">
        <v>77</v>
      </c>
      <c r="K142" s="1" t="s">
        <v>89</v>
      </c>
      <c r="L142" s="1" t="s">
        <v>78</v>
      </c>
      <c r="M142" s="2">
        <v>44828</v>
      </c>
      <c r="N142" s="3">
        <v>249.99</v>
      </c>
      <c r="O142" s="4"/>
      <c r="P142" s="5"/>
    </row>
    <row r="143" spans="1:16" ht="44" thickBot="1" x14ac:dyDescent="0.4">
      <c r="A143" s="1" t="s">
        <v>330</v>
      </c>
      <c r="B143" s="2">
        <v>45607</v>
      </c>
      <c r="C143" s="1" t="s">
        <v>120</v>
      </c>
      <c r="D143" s="1" t="s">
        <v>121</v>
      </c>
      <c r="E143" s="1" t="s">
        <v>100</v>
      </c>
      <c r="F143" s="1" t="s">
        <v>101</v>
      </c>
      <c r="G143" s="1" t="s">
        <v>28</v>
      </c>
      <c r="H143" s="3">
        <v>3</v>
      </c>
      <c r="I143" s="3">
        <v>149.99</v>
      </c>
      <c r="J143" s="1" t="s">
        <v>71</v>
      </c>
      <c r="K143" s="1" t="s">
        <v>89</v>
      </c>
      <c r="L143" s="1" t="s">
        <v>73</v>
      </c>
      <c r="M143" s="2">
        <v>44769</v>
      </c>
      <c r="N143" s="3">
        <v>449.97</v>
      </c>
      <c r="O143" s="4"/>
      <c r="P143" s="5"/>
    </row>
    <row r="144" spans="1:16" ht="29.5" thickBot="1" x14ac:dyDescent="0.4">
      <c r="A144" s="1" t="s">
        <v>331</v>
      </c>
      <c r="B144" s="2">
        <v>45607</v>
      </c>
      <c r="C144" s="1" t="s">
        <v>67</v>
      </c>
      <c r="D144" s="1" t="s">
        <v>68</v>
      </c>
      <c r="E144" s="1" t="s">
        <v>82</v>
      </c>
      <c r="F144" s="1" t="s">
        <v>83</v>
      </c>
      <c r="G144" s="1" t="s">
        <v>27</v>
      </c>
      <c r="H144" s="3">
        <v>5</v>
      </c>
      <c r="I144" s="3">
        <v>59.99</v>
      </c>
      <c r="J144" s="1" t="s">
        <v>84</v>
      </c>
      <c r="K144" s="1" t="s">
        <v>98</v>
      </c>
      <c r="L144" s="1" t="s">
        <v>78</v>
      </c>
      <c r="M144" s="2">
        <v>44694</v>
      </c>
      <c r="N144" s="3">
        <v>299.95</v>
      </c>
      <c r="O144" s="4"/>
      <c r="P144" s="5"/>
    </row>
    <row r="145" spans="1:16" ht="29.5" thickBot="1" x14ac:dyDescent="0.4">
      <c r="A145" s="1" t="s">
        <v>332</v>
      </c>
      <c r="B145" s="2">
        <v>45607</v>
      </c>
      <c r="C145" s="1" t="s">
        <v>147</v>
      </c>
      <c r="D145" s="1" t="s">
        <v>148</v>
      </c>
      <c r="E145" s="1" t="s">
        <v>69</v>
      </c>
      <c r="F145" s="1" t="s">
        <v>70</v>
      </c>
      <c r="G145" s="1" t="s">
        <v>28</v>
      </c>
      <c r="H145" s="3">
        <v>4</v>
      </c>
      <c r="I145" s="3">
        <v>249.99</v>
      </c>
      <c r="J145" s="1" t="s">
        <v>77</v>
      </c>
      <c r="K145" s="1" t="s">
        <v>98</v>
      </c>
      <c r="L145" s="1" t="s">
        <v>85</v>
      </c>
      <c r="M145" s="2">
        <v>44659</v>
      </c>
      <c r="N145" s="3">
        <v>999.96</v>
      </c>
      <c r="O145" s="4"/>
      <c r="P145" s="5"/>
    </row>
    <row r="146" spans="1:16" ht="29.5" thickBot="1" x14ac:dyDescent="0.4">
      <c r="A146" s="1" t="s">
        <v>333</v>
      </c>
      <c r="B146" s="2">
        <v>45608</v>
      </c>
      <c r="C146" s="1" t="s">
        <v>202</v>
      </c>
      <c r="D146" s="1" t="s">
        <v>203</v>
      </c>
      <c r="E146" s="1" t="s">
        <v>93</v>
      </c>
      <c r="F146" s="1" t="s">
        <v>94</v>
      </c>
      <c r="G146" s="1" t="s">
        <v>29</v>
      </c>
      <c r="H146" s="3">
        <v>5</v>
      </c>
      <c r="I146" s="3">
        <v>149.99</v>
      </c>
      <c r="J146" s="1" t="s">
        <v>84</v>
      </c>
      <c r="K146" s="1" t="s">
        <v>72</v>
      </c>
      <c r="L146" s="1" t="s">
        <v>73</v>
      </c>
      <c r="M146" s="2">
        <v>44901</v>
      </c>
      <c r="N146" s="3">
        <v>749.95</v>
      </c>
      <c r="O146" s="4"/>
      <c r="P146" s="5"/>
    </row>
    <row r="147" spans="1:16" ht="29.5" thickBot="1" x14ac:dyDescent="0.4">
      <c r="A147" s="1" t="s">
        <v>334</v>
      </c>
      <c r="B147" s="2">
        <v>45608</v>
      </c>
      <c r="C147" s="1" t="s">
        <v>131</v>
      </c>
      <c r="D147" s="1" t="s">
        <v>132</v>
      </c>
      <c r="E147" s="1" t="s">
        <v>82</v>
      </c>
      <c r="F147" s="1" t="s">
        <v>83</v>
      </c>
      <c r="G147" s="1" t="s">
        <v>27</v>
      </c>
      <c r="H147" s="3">
        <v>3</v>
      </c>
      <c r="I147" s="3">
        <v>59.99</v>
      </c>
      <c r="J147" s="1" t="s">
        <v>105</v>
      </c>
      <c r="K147" s="1" t="s">
        <v>52</v>
      </c>
      <c r="L147" s="1" t="s">
        <v>85</v>
      </c>
      <c r="M147" s="2">
        <v>45260</v>
      </c>
      <c r="N147" s="3">
        <v>179.97</v>
      </c>
      <c r="O147" s="4"/>
      <c r="P147" s="5"/>
    </row>
    <row r="148" spans="1:16" ht="29.5" thickBot="1" x14ac:dyDescent="0.4">
      <c r="A148" s="1" t="s">
        <v>335</v>
      </c>
      <c r="B148" s="2">
        <v>45613</v>
      </c>
      <c r="C148" s="1" t="s">
        <v>282</v>
      </c>
      <c r="D148" s="1" t="s">
        <v>283</v>
      </c>
      <c r="E148" s="1" t="s">
        <v>93</v>
      </c>
      <c r="F148" s="1" t="s">
        <v>94</v>
      </c>
      <c r="G148" s="1" t="s">
        <v>29</v>
      </c>
      <c r="H148" s="3">
        <v>5</v>
      </c>
      <c r="I148" s="3">
        <v>149.99</v>
      </c>
      <c r="J148" s="1" t="s">
        <v>71</v>
      </c>
      <c r="K148" s="1" t="s">
        <v>89</v>
      </c>
      <c r="L148" s="1" t="s">
        <v>73</v>
      </c>
      <c r="M148" s="2">
        <v>44869</v>
      </c>
      <c r="N148" s="3">
        <v>749.95</v>
      </c>
      <c r="O148" s="4"/>
      <c r="P148" s="5"/>
    </row>
    <row r="149" spans="1:16" ht="29.5" thickBot="1" x14ac:dyDescent="0.4">
      <c r="A149" s="1" t="s">
        <v>336</v>
      </c>
      <c r="B149" s="2">
        <v>45613</v>
      </c>
      <c r="C149" s="1" t="s">
        <v>134</v>
      </c>
      <c r="D149" s="1" t="s">
        <v>135</v>
      </c>
      <c r="E149" s="1" t="s">
        <v>128</v>
      </c>
      <c r="F149" s="1" t="s">
        <v>129</v>
      </c>
      <c r="G149" s="1" t="s">
        <v>28</v>
      </c>
      <c r="H149" s="3">
        <v>2</v>
      </c>
      <c r="I149" s="3">
        <v>699.99</v>
      </c>
      <c r="J149" s="1" t="s">
        <v>84</v>
      </c>
      <c r="K149" s="1" t="s">
        <v>98</v>
      </c>
      <c r="L149" s="1" t="s">
        <v>85</v>
      </c>
      <c r="M149" s="2">
        <v>44770</v>
      </c>
      <c r="N149" s="3">
        <v>1399.98</v>
      </c>
      <c r="O149" s="4"/>
      <c r="P149" s="5"/>
    </row>
    <row r="150" spans="1:16" ht="29.5" thickBot="1" x14ac:dyDescent="0.4">
      <c r="A150" s="1" t="s">
        <v>337</v>
      </c>
      <c r="B150" s="2">
        <v>45617</v>
      </c>
      <c r="C150" s="1" t="s">
        <v>171</v>
      </c>
      <c r="D150" s="1" t="s">
        <v>172</v>
      </c>
      <c r="E150" s="1" t="s">
        <v>174</v>
      </c>
      <c r="F150" s="1" t="s">
        <v>175</v>
      </c>
      <c r="G150" s="1" t="s">
        <v>29</v>
      </c>
      <c r="H150" s="3">
        <v>4</v>
      </c>
      <c r="I150" s="3">
        <v>199.99</v>
      </c>
      <c r="J150" s="1" t="s">
        <v>105</v>
      </c>
      <c r="K150" s="1" t="s">
        <v>72</v>
      </c>
      <c r="L150" s="1" t="s">
        <v>78</v>
      </c>
      <c r="M150" s="2">
        <v>44427</v>
      </c>
      <c r="N150" s="3">
        <v>799.96</v>
      </c>
      <c r="O150" s="4"/>
      <c r="P150" s="5"/>
    </row>
    <row r="151" spans="1:16" ht="29.5" thickBot="1" x14ac:dyDescent="0.4">
      <c r="A151" s="1" t="s">
        <v>338</v>
      </c>
      <c r="B151" s="2">
        <v>45619</v>
      </c>
      <c r="C151" s="1" t="s">
        <v>240</v>
      </c>
      <c r="D151" s="1" t="s">
        <v>241</v>
      </c>
      <c r="E151" s="1" t="s">
        <v>82</v>
      </c>
      <c r="F151" s="1" t="s">
        <v>83</v>
      </c>
      <c r="G151" s="1" t="s">
        <v>27</v>
      </c>
      <c r="H151" s="3">
        <v>1</v>
      </c>
      <c r="I151" s="3">
        <v>59.99</v>
      </c>
      <c r="J151" s="1" t="s">
        <v>105</v>
      </c>
      <c r="K151" s="1" t="s">
        <v>98</v>
      </c>
      <c r="L151" s="1" t="s">
        <v>85</v>
      </c>
      <c r="M151" s="2">
        <v>44560</v>
      </c>
      <c r="N151" s="3">
        <v>59.99</v>
      </c>
      <c r="O151" s="4"/>
      <c r="P151" s="5"/>
    </row>
    <row r="152" spans="1:16" ht="29.5" thickBot="1" x14ac:dyDescent="0.4">
      <c r="A152" s="1" t="s">
        <v>339</v>
      </c>
      <c r="B152" s="2">
        <v>45619</v>
      </c>
      <c r="C152" s="1" t="s">
        <v>202</v>
      </c>
      <c r="D152" s="1" t="s">
        <v>203</v>
      </c>
      <c r="E152" s="1" t="s">
        <v>128</v>
      </c>
      <c r="F152" s="1" t="s">
        <v>129</v>
      </c>
      <c r="G152" s="1" t="s">
        <v>28</v>
      </c>
      <c r="H152" s="3">
        <v>3</v>
      </c>
      <c r="I152" s="3">
        <v>699.99</v>
      </c>
      <c r="J152" s="1" t="s">
        <v>84</v>
      </c>
      <c r="K152" s="1" t="s">
        <v>98</v>
      </c>
      <c r="L152" s="1" t="s">
        <v>85</v>
      </c>
      <c r="M152" s="2">
        <v>44583</v>
      </c>
      <c r="N152" s="3">
        <v>2099.9699999999998</v>
      </c>
      <c r="O152" s="4"/>
      <c r="P152" s="5"/>
    </row>
    <row r="153" spans="1:16" ht="29.5" thickBot="1" x14ac:dyDescent="0.4">
      <c r="A153" s="1" t="s">
        <v>340</v>
      </c>
      <c r="B153" s="2">
        <v>45622</v>
      </c>
      <c r="C153" s="1" t="s">
        <v>341</v>
      </c>
      <c r="D153" s="1" t="s">
        <v>342</v>
      </c>
      <c r="E153" s="1" t="s">
        <v>69</v>
      </c>
      <c r="F153" s="1" t="s">
        <v>70</v>
      </c>
      <c r="G153" s="1" t="s">
        <v>28</v>
      </c>
      <c r="H153" s="3">
        <v>5</v>
      </c>
      <c r="I153" s="3">
        <v>249.99</v>
      </c>
      <c r="J153" s="1" t="s">
        <v>77</v>
      </c>
      <c r="K153" s="1" t="s">
        <v>89</v>
      </c>
      <c r="L153" s="1" t="s">
        <v>73</v>
      </c>
      <c r="M153" s="2">
        <v>44873</v>
      </c>
      <c r="N153" s="3">
        <v>1249.95</v>
      </c>
      <c r="O153" s="4"/>
      <c r="P153" s="5"/>
    </row>
    <row r="154" spans="1:16" ht="29.5" thickBot="1" x14ac:dyDescent="0.4">
      <c r="A154" s="1" t="s">
        <v>343</v>
      </c>
      <c r="B154" s="2">
        <v>45623</v>
      </c>
      <c r="C154" s="1" t="s">
        <v>160</v>
      </c>
      <c r="D154" s="1" t="s">
        <v>161</v>
      </c>
      <c r="E154" s="1" t="s">
        <v>93</v>
      </c>
      <c r="F154" s="1" t="s">
        <v>94</v>
      </c>
      <c r="G154" s="1" t="s">
        <v>29</v>
      </c>
      <c r="H154" s="3">
        <v>2</v>
      </c>
      <c r="I154" s="3">
        <v>149.99</v>
      </c>
      <c r="J154" s="1" t="s">
        <v>71</v>
      </c>
      <c r="K154" s="1" t="s">
        <v>52</v>
      </c>
      <c r="L154" s="1" t="s">
        <v>85</v>
      </c>
      <c r="M154" s="2">
        <v>45101</v>
      </c>
      <c r="N154" s="3">
        <v>299.98</v>
      </c>
      <c r="O154" s="4"/>
      <c r="P154" s="5"/>
    </row>
    <row r="155" spans="1:16" ht="29.5" thickBot="1" x14ac:dyDescent="0.4">
      <c r="A155" s="1" t="s">
        <v>344</v>
      </c>
      <c r="B155" s="2">
        <v>45627</v>
      </c>
      <c r="C155" s="1" t="s">
        <v>80</v>
      </c>
      <c r="D155" s="1" t="s">
        <v>81</v>
      </c>
      <c r="E155" s="1" t="s">
        <v>153</v>
      </c>
      <c r="F155" s="1" t="s">
        <v>154</v>
      </c>
      <c r="G155" s="1" t="s">
        <v>29</v>
      </c>
      <c r="H155" s="3">
        <v>3</v>
      </c>
      <c r="I155" s="3">
        <v>299.99</v>
      </c>
      <c r="J155" s="1" t="s">
        <v>71</v>
      </c>
      <c r="K155" s="1" t="s">
        <v>52</v>
      </c>
      <c r="L155" s="1" t="s">
        <v>78</v>
      </c>
      <c r="M155" s="2">
        <v>44659</v>
      </c>
      <c r="N155" s="3">
        <v>899.97</v>
      </c>
      <c r="O155" s="4"/>
      <c r="P155" s="5"/>
    </row>
    <row r="156" spans="1:16" ht="29.5" thickBot="1" x14ac:dyDescent="0.4">
      <c r="A156" s="1" t="s">
        <v>345</v>
      </c>
      <c r="B156" s="2">
        <v>45627</v>
      </c>
      <c r="C156" s="1" t="s">
        <v>103</v>
      </c>
      <c r="D156" s="1" t="s">
        <v>104</v>
      </c>
      <c r="E156" s="1" t="s">
        <v>69</v>
      </c>
      <c r="F156" s="1" t="s">
        <v>70</v>
      </c>
      <c r="G156" s="1" t="s">
        <v>28</v>
      </c>
      <c r="H156" s="3">
        <v>5</v>
      </c>
      <c r="I156" s="3">
        <v>249.99</v>
      </c>
      <c r="J156" s="1" t="s">
        <v>71</v>
      </c>
      <c r="K156" s="1" t="s">
        <v>72</v>
      </c>
      <c r="L156" s="1" t="s">
        <v>78</v>
      </c>
      <c r="M156" s="2">
        <v>44485</v>
      </c>
      <c r="N156" s="3">
        <v>1249.95</v>
      </c>
      <c r="O156" s="4"/>
      <c r="P156" s="5"/>
    </row>
    <row r="157" spans="1:16" ht="29.5" thickBot="1" x14ac:dyDescent="0.4">
      <c r="A157" s="1" t="s">
        <v>346</v>
      </c>
      <c r="B157" s="2">
        <v>45627</v>
      </c>
      <c r="C157" s="1" t="s">
        <v>75</v>
      </c>
      <c r="D157" s="1" t="s">
        <v>76</v>
      </c>
      <c r="E157" s="1" t="s">
        <v>100</v>
      </c>
      <c r="F157" s="1" t="s">
        <v>101</v>
      </c>
      <c r="G157" s="1" t="s">
        <v>28</v>
      </c>
      <c r="H157" s="3">
        <v>2</v>
      </c>
      <c r="I157" s="3">
        <v>149.99</v>
      </c>
      <c r="J157" s="1" t="s">
        <v>71</v>
      </c>
      <c r="K157" s="1" t="s">
        <v>52</v>
      </c>
      <c r="L157" s="1" t="s">
        <v>78</v>
      </c>
      <c r="M157" s="2">
        <v>44475</v>
      </c>
      <c r="N157" s="3">
        <v>299.98</v>
      </c>
      <c r="O157" s="4"/>
      <c r="P157" s="5"/>
    </row>
    <row r="158" spans="1:16" ht="29.5" thickBot="1" x14ac:dyDescent="0.4">
      <c r="A158" s="1" t="s">
        <v>347</v>
      </c>
      <c r="B158" s="2">
        <v>45627</v>
      </c>
      <c r="C158" s="1" t="s">
        <v>134</v>
      </c>
      <c r="D158" s="1" t="s">
        <v>135</v>
      </c>
      <c r="E158" s="1" t="s">
        <v>128</v>
      </c>
      <c r="F158" s="1" t="s">
        <v>129</v>
      </c>
      <c r="G158" s="1" t="s">
        <v>28</v>
      </c>
      <c r="H158" s="3">
        <v>5</v>
      </c>
      <c r="I158" s="3">
        <v>699.99</v>
      </c>
      <c r="J158" s="1" t="s">
        <v>105</v>
      </c>
      <c r="K158" s="1" t="s">
        <v>98</v>
      </c>
      <c r="L158" s="1" t="s">
        <v>85</v>
      </c>
      <c r="M158" s="2">
        <v>44944</v>
      </c>
      <c r="N158" s="3">
        <v>3499.95</v>
      </c>
      <c r="O158" s="4"/>
      <c r="P158" s="5"/>
    </row>
    <row r="159" spans="1:16" ht="29.5" thickBot="1" x14ac:dyDescent="0.4">
      <c r="A159" s="1" t="s">
        <v>348</v>
      </c>
      <c r="B159" s="2">
        <v>45629</v>
      </c>
      <c r="C159" s="1" t="s">
        <v>300</v>
      </c>
      <c r="D159" s="1" t="s">
        <v>301</v>
      </c>
      <c r="E159" s="1" t="s">
        <v>69</v>
      </c>
      <c r="F159" s="1" t="s">
        <v>70</v>
      </c>
      <c r="G159" s="1" t="s">
        <v>28</v>
      </c>
      <c r="H159" s="3">
        <v>4</v>
      </c>
      <c r="I159" s="3">
        <v>249.99</v>
      </c>
      <c r="J159" s="1" t="s">
        <v>84</v>
      </c>
      <c r="K159" s="1" t="s">
        <v>111</v>
      </c>
      <c r="L159" s="1" t="s">
        <v>78</v>
      </c>
      <c r="M159" s="2">
        <v>45098</v>
      </c>
      <c r="N159" s="3">
        <v>999.96</v>
      </c>
      <c r="O159" s="4"/>
      <c r="P159" s="5"/>
    </row>
    <row r="160" spans="1:16" ht="29.5" thickBot="1" x14ac:dyDescent="0.4">
      <c r="A160" s="1" t="s">
        <v>349</v>
      </c>
      <c r="B160" s="2">
        <v>45630</v>
      </c>
      <c r="C160" s="1" t="s">
        <v>96</v>
      </c>
      <c r="D160" s="1" t="s">
        <v>97</v>
      </c>
      <c r="E160" s="1" t="s">
        <v>128</v>
      </c>
      <c r="F160" s="1" t="s">
        <v>129</v>
      </c>
      <c r="G160" s="1" t="s">
        <v>28</v>
      </c>
      <c r="H160" s="3">
        <v>4</v>
      </c>
      <c r="I160" s="3">
        <v>699.99</v>
      </c>
      <c r="J160" s="1" t="s">
        <v>77</v>
      </c>
      <c r="K160" s="1" t="s">
        <v>89</v>
      </c>
      <c r="L160" s="1" t="s">
        <v>78</v>
      </c>
      <c r="M160" s="2">
        <v>44703</v>
      </c>
      <c r="N160" s="3">
        <v>2799.96</v>
      </c>
      <c r="O160" s="4"/>
      <c r="P160" s="5"/>
    </row>
    <row r="161" spans="1:16" ht="29.5" thickBot="1" x14ac:dyDescent="0.4">
      <c r="A161" s="1" t="s">
        <v>350</v>
      </c>
      <c r="B161" s="2">
        <v>45635</v>
      </c>
      <c r="C161" s="1" t="s">
        <v>156</v>
      </c>
      <c r="D161" s="1" t="s">
        <v>157</v>
      </c>
      <c r="E161" s="1" t="s">
        <v>69</v>
      </c>
      <c r="F161" s="1" t="s">
        <v>70</v>
      </c>
      <c r="G161" s="1" t="s">
        <v>28</v>
      </c>
      <c r="H161" s="3">
        <v>2</v>
      </c>
      <c r="I161" s="3">
        <v>249.99</v>
      </c>
      <c r="J161" s="1" t="s">
        <v>77</v>
      </c>
      <c r="K161" s="1" t="s">
        <v>72</v>
      </c>
      <c r="L161" s="1" t="s">
        <v>78</v>
      </c>
      <c r="M161" s="2">
        <v>44396</v>
      </c>
      <c r="N161" s="3">
        <v>499.98</v>
      </c>
      <c r="O161" s="4"/>
      <c r="P161" s="5"/>
    </row>
    <row r="162" spans="1:16" ht="29.5" thickBot="1" x14ac:dyDescent="0.4">
      <c r="A162" s="1" t="s">
        <v>351</v>
      </c>
      <c r="B162" s="2">
        <v>45635</v>
      </c>
      <c r="C162" s="1" t="s">
        <v>352</v>
      </c>
      <c r="D162" s="1" t="s">
        <v>353</v>
      </c>
      <c r="E162" s="1" t="s">
        <v>82</v>
      </c>
      <c r="F162" s="1" t="s">
        <v>83</v>
      </c>
      <c r="G162" s="1" t="s">
        <v>27</v>
      </c>
      <c r="H162" s="3">
        <v>3</v>
      </c>
      <c r="I162" s="3">
        <v>59.99</v>
      </c>
      <c r="J162" s="1" t="s">
        <v>71</v>
      </c>
      <c r="K162" s="1" t="s">
        <v>72</v>
      </c>
      <c r="L162" s="1" t="s">
        <v>78</v>
      </c>
      <c r="M162" s="2">
        <v>45052</v>
      </c>
      <c r="N162" s="3">
        <v>179.97</v>
      </c>
      <c r="O162" s="4"/>
      <c r="P162" s="5"/>
    </row>
    <row r="163" spans="1:16" ht="29.5" thickBot="1" x14ac:dyDescent="0.4">
      <c r="A163" s="1" t="s">
        <v>354</v>
      </c>
      <c r="B163" s="2">
        <v>45635</v>
      </c>
      <c r="C163" s="1" t="s">
        <v>189</v>
      </c>
      <c r="D163" s="1" t="s">
        <v>190</v>
      </c>
      <c r="E163" s="1" t="s">
        <v>162</v>
      </c>
      <c r="F163" s="1" t="s">
        <v>163</v>
      </c>
      <c r="G163" s="1" t="s">
        <v>27</v>
      </c>
      <c r="H163" s="3">
        <v>4</v>
      </c>
      <c r="I163" s="3">
        <v>79.989999999999995</v>
      </c>
      <c r="J163" s="1" t="s">
        <v>105</v>
      </c>
      <c r="K163" s="1" t="s">
        <v>111</v>
      </c>
      <c r="L163" s="1" t="s">
        <v>85</v>
      </c>
      <c r="M163" s="2">
        <v>44921</v>
      </c>
      <c r="N163" s="3">
        <v>319.95999999999998</v>
      </c>
      <c r="O163" s="4"/>
      <c r="P163" s="5"/>
    </row>
    <row r="164" spans="1:16" ht="29.5" thickBot="1" x14ac:dyDescent="0.4">
      <c r="A164" s="1" t="s">
        <v>355</v>
      </c>
      <c r="B164" s="2">
        <v>45636</v>
      </c>
      <c r="C164" s="1" t="s">
        <v>168</v>
      </c>
      <c r="D164" s="1" t="s">
        <v>169</v>
      </c>
      <c r="E164" s="1" t="s">
        <v>162</v>
      </c>
      <c r="F164" s="1" t="s">
        <v>163</v>
      </c>
      <c r="G164" s="1" t="s">
        <v>27</v>
      </c>
      <c r="H164" s="3">
        <v>3</v>
      </c>
      <c r="I164" s="3">
        <v>79.989999999999995</v>
      </c>
      <c r="J164" s="1" t="s">
        <v>105</v>
      </c>
      <c r="K164" s="1" t="s">
        <v>111</v>
      </c>
      <c r="L164" s="1" t="s">
        <v>85</v>
      </c>
      <c r="M164" s="2">
        <v>44779</v>
      </c>
      <c r="N164" s="3">
        <v>239.97</v>
      </c>
      <c r="O164" s="4"/>
      <c r="P164" s="5"/>
    </row>
    <row r="165" spans="1:16" ht="44" thickBot="1" x14ac:dyDescent="0.4">
      <c r="A165" s="1" t="s">
        <v>356</v>
      </c>
      <c r="B165" s="2">
        <v>45638</v>
      </c>
      <c r="C165" s="1" t="s">
        <v>120</v>
      </c>
      <c r="D165" s="1" t="s">
        <v>121</v>
      </c>
      <c r="E165" s="1" t="s">
        <v>109</v>
      </c>
      <c r="F165" s="1" t="s">
        <v>110</v>
      </c>
      <c r="G165" s="1" t="s">
        <v>28</v>
      </c>
      <c r="H165" s="3">
        <v>2</v>
      </c>
      <c r="I165" s="3">
        <v>899.99</v>
      </c>
      <c r="J165" s="1" t="s">
        <v>71</v>
      </c>
      <c r="K165" s="1" t="s">
        <v>89</v>
      </c>
      <c r="L165" s="1" t="s">
        <v>73</v>
      </c>
      <c r="M165" s="2">
        <v>44406</v>
      </c>
      <c r="N165" s="3">
        <v>1799.98</v>
      </c>
      <c r="O165" s="4"/>
      <c r="P165" s="5"/>
    </row>
    <row r="166" spans="1:16" ht="29.5" thickBot="1" x14ac:dyDescent="0.4">
      <c r="A166" s="1" t="s">
        <v>357</v>
      </c>
      <c r="B166" s="2">
        <v>45641</v>
      </c>
      <c r="C166" s="1" t="s">
        <v>230</v>
      </c>
      <c r="D166" s="1" t="s">
        <v>231</v>
      </c>
      <c r="E166" s="1" t="s">
        <v>93</v>
      </c>
      <c r="F166" s="1" t="s">
        <v>94</v>
      </c>
      <c r="G166" s="1" t="s">
        <v>29</v>
      </c>
      <c r="H166" s="3">
        <v>1</v>
      </c>
      <c r="I166" s="3">
        <v>149.99</v>
      </c>
      <c r="J166" s="1" t="s">
        <v>105</v>
      </c>
      <c r="K166" s="1" t="s">
        <v>111</v>
      </c>
      <c r="L166" s="1" t="s">
        <v>85</v>
      </c>
      <c r="M166" s="2">
        <v>45200</v>
      </c>
      <c r="N166" s="3">
        <v>149.99</v>
      </c>
      <c r="O166" s="4"/>
      <c r="P166" s="5"/>
    </row>
    <row r="167" spans="1:16" ht="29.5" thickBot="1" x14ac:dyDescent="0.4">
      <c r="A167" s="1" t="s">
        <v>358</v>
      </c>
      <c r="B167" s="2">
        <v>45641</v>
      </c>
      <c r="C167" s="1" t="s">
        <v>186</v>
      </c>
      <c r="D167" s="1" t="s">
        <v>187</v>
      </c>
      <c r="E167" s="1" t="s">
        <v>153</v>
      </c>
      <c r="F167" s="1" t="s">
        <v>154</v>
      </c>
      <c r="G167" s="1" t="s">
        <v>29</v>
      </c>
      <c r="H167" s="3">
        <v>2</v>
      </c>
      <c r="I167" s="3">
        <v>299.99</v>
      </c>
      <c r="J167" s="1" t="s">
        <v>71</v>
      </c>
      <c r="K167" s="1" t="s">
        <v>111</v>
      </c>
      <c r="L167" s="1" t="s">
        <v>78</v>
      </c>
      <c r="M167" s="2">
        <v>44724</v>
      </c>
      <c r="N167" s="3">
        <v>599.98</v>
      </c>
      <c r="O167" s="4"/>
      <c r="P167" s="5"/>
    </row>
    <row r="168" spans="1:16" ht="29.5" thickBot="1" x14ac:dyDescent="0.4">
      <c r="A168" s="1" t="s">
        <v>359</v>
      </c>
      <c r="B168" s="2">
        <v>45644</v>
      </c>
      <c r="C168" s="1" t="s">
        <v>180</v>
      </c>
      <c r="D168" s="1" t="s">
        <v>181</v>
      </c>
      <c r="E168" s="1" t="s">
        <v>82</v>
      </c>
      <c r="F168" s="1" t="s">
        <v>83</v>
      </c>
      <c r="G168" s="1" t="s">
        <v>27</v>
      </c>
      <c r="H168" s="3">
        <v>2</v>
      </c>
      <c r="I168" s="3">
        <v>59.99</v>
      </c>
      <c r="J168" s="1" t="s">
        <v>71</v>
      </c>
      <c r="K168" s="1" t="s">
        <v>98</v>
      </c>
      <c r="L168" s="1" t="s">
        <v>73</v>
      </c>
      <c r="M168" s="2">
        <v>45191</v>
      </c>
      <c r="N168" s="3">
        <v>119.98</v>
      </c>
      <c r="O168" s="4"/>
      <c r="P168" s="5"/>
    </row>
    <row r="169" spans="1:16" ht="29.5" thickBot="1" x14ac:dyDescent="0.4">
      <c r="A169" s="1" t="s">
        <v>360</v>
      </c>
      <c r="B169" s="2">
        <v>45645</v>
      </c>
      <c r="C169" s="1" t="s">
        <v>230</v>
      </c>
      <c r="D169" s="1" t="s">
        <v>231</v>
      </c>
      <c r="E169" s="1" t="s">
        <v>165</v>
      </c>
      <c r="F169" s="1" t="s">
        <v>166</v>
      </c>
      <c r="G169" s="1" t="s">
        <v>28</v>
      </c>
      <c r="H169" s="3">
        <v>1</v>
      </c>
      <c r="I169" s="3">
        <v>89.99</v>
      </c>
      <c r="J169" s="1" t="s">
        <v>105</v>
      </c>
      <c r="K169" s="1" t="s">
        <v>72</v>
      </c>
      <c r="L169" s="1" t="s">
        <v>85</v>
      </c>
      <c r="M169" s="2">
        <v>44760</v>
      </c>
      <c r="N169" s="3">
        <v>89.99</v>
      </c>
      <c r="O169" s="4"/>
      <c r="P169" s="5"/>
    </row>
    <row r="170" spans="1:16" ht="29.5" thickBot="1" x14ac:dyDescent="0.4">
      <c r="A170" s="1" t="s">
        <v>361</v>
      </c>
      <c r="B170" s="2">
        <v>45645</v>
      </c>
      <c r="C170" s="1" t="s">
        <v>195</v>
      </c>
      <c r="D170" s="1" t="s">
        <v>196</v>
      </c>
      <c r="E170" s="1" t="s">
        <v>109</v>
      </c>
      <c r="F170" s="1" t="s">
        <v>110</v>
      </c>
      <c r="G170" s="1" t="s">
        <v>28</v>
      </c>
      <c r="H170" s="3">
        <v>5</v>
      </c>
      <c r="I170" s="3">
        <v>899.99</v>
      </c>
      <c r="J170" s="1" t="s">
        <v>105</v>
      </c>
      <c r="K170" s="1" t="s">
        <v>111</v>
      </c>
      <c r="L170" s="1" t="s">
        <v>85</v>
      </c>
      <c r="M170" s="2">
        <v>44625</v>
      </c>
      <c r="N170" s="3">
        <v>4499.95</v>
      </c>
      <c r="O170" s="4"/>
      <c r="P170" s="5"/>
    </row>
    <row r="171" spans="1:16" ht="29.5" thickBot="1" x14ac:dyDescent="0.4">
      <c r="A171" s="1" t="s">
        <v>362</v>
      </c>
      <c r="B171" s="2">
        <v>45646</v>
      </c>
      <c r="C171" s="1" t="s">
        <v>91</v>
      </c>
      <c r="D171" s="1" t="s">
        <v>92</v>
      </c>
      <c r="E171" s="1" t="s">
        <v>93</v>
      </c>
      <c r="F171" s="1" t="s">
        <v>94</v>
      </c>
      <c r="G171" s="1" t="s">
        <v>29</v>
      </c>
      <c r="H171" s="3">
        <v>2</v>
      </c>
      <c r="I171" s="3">
        <v>149.99</v>
      </c>
      <c r="J171" s="1" t="s">
        <v>71</v>
      </c>
      <c r="K171" s="1" t="s">
        <v>52</v>
      </c>
      <c r="L171" s="1" t="s">
        <v>73</v>
      </c>
      <c r="M171" s="2">
        <v>45239</v>
      </c>
      <c r="N171" s="3">
        <v>299.98</v>
      </c>
      <c r="O171" s="4"/>
      <c r="P171" s="5"/>
    </row>
    <row r="172" spans="1:16" ht="29.5" thickBot="1" x14ac:dyDescent="0.4">
      <c r="A172" s="1" t="s">
        <v>363</v>
      </c>
      <c r="B172" s="2">
        <v>45648</v>
      </c>
      <c r="C172" s="1" t="s">
        <v>160</v>
      </c>
      <c r="D172" s="1" t="s">
        <v>161</v>
      </c>
      <c r="E172" s="1" t="s">
        <v>100</v>
      </c>
      <c r="F172" s="1" t="s">
        <v>101</v>
      </c>
      <c r="G172" s="1" t="s">
        <v>28</v>
      </c>
      <c r="H172" s="3">
        <v>2</v>
      </c>
      <c r="I172" s="3">
        <v>149.99</v>
      </c>
      <c r="J172" s="1" t="s">
        <v>105</v>
      </c>
      <c r="K172" s="1" t="s">
        <v>98</v>
      </c>
      <c r="L172" s="1" t="s">
        <v>78</v>
      </c>
      <c r="M172" s="2">
        <v>45280</v>
      </c>
      <c r="N172" s="3">
        <v>299.98</v>
      </c>
      <c r="O172" s="4"/>
      <c r="P172" s="5"/>
    </row>
    <row r="173" spans="1:16" ht="29.5" thickBot="1" x14ac:dyDescent="0.4">
      <c r="A173" s="1" t="s">
        <v>364</v>
      </c>
      <c r="B173" s="2">
        <v>45648</v>
      </c>
      <c r="C173" s="1" t="s">
        <v>230</v>
      </c>
      <c r="D173" s="1" t="s">
        <v>231</v>
      </c>
      <c r="E173" s="1" t="s">
        <v>93</v>
      </c>
      <c r="F173" s="1" t="s">
        <v>94</v>
      </c>
      <c r="G173" s="1" t="s">
        <v>29</v>
      </c>
      <c r="H173" s="3">
        <v>3</v>
      </c>
      <c r="I173" s="3">
        <v>149.99</v>
      </c>
      <c r="J173" s="1" t="s">
        <v>105</v>
      </c>
      <c r="K173" s="1" t="s">
        <v>89</v>
      </c>
      <c r="L173" s="1" t="s">
        <v>85</v>
      </c>
      <c r="M173" s="2">
        <v>44522</v>
      </c>
      <c r="N173" s="3">
        <v>449.97</v>
      </c>
      <c r="O173" s="4"/>
      <c r="P173" s="5"/>
    </row>
    <row r="174" spans="1:16" ht="29.5" thickBot="1" x14ac:dyDescent="0.4">
      <c r="A174" s="1" t="s">
        <v>365</v>
      </c>
      <c r="B174" s="2">
        <v>45649</v>
      </c>
      <c r="C174" s="1" t="s">
        <v>80</v>
      </c>
      <c r="D174" s="1" t="s">
        <v>81</v>
      </c>
      <c r="E174" s="1" t="s">
        <v>153</v>
      </c>
      <c r="F174" s="1" t="s">
        <v>154</v>
      </c>
      <c r="G174" s="1" t="s">
        <v>29</v>
      </c>
      <c r="H174" s="3">
        <v>2</v>
      </c>
      <c r="I174" s="3">
        <v>299.99</v>
      </c>
      <c r="J174" s="1" t="s">
        <v>84</v>
      </c>
      <c r="K174" s="1" t="s">
        <v>52</v>
      </c>
      <c r="L174" s="1" t="s">
        <v>73</v>
      </c>
      <c r="M174" s="2">
        <v>44721</v>
      </c>
      <c r="N174" s="3">
        <v>599.98</v>
      </c>
      <c r="O174" s="4"/>
      <c r="P174" s="5"/>
    </row>
    <row r="175" spans="1:16" ht="29.5" thickBot="1" x14ac:dyDescent="0.4">
      <c r="A175" s="1" t="s">
        <v>366</v>
      </c>
      <c r="B175" s="2">
        <v>45654</v>
      </c>
      <c r="C175" s="1" t="s">
        <v>91</v>
      </c>
      <c r="D175" s="1" t="s">
        <v>92</v>
      </c>
      <c r="E175" s="1" t="s">
        <v>153</v>
      </c>
      <c r="F175" s="1" t="s">
        <v>154</v>
      </c>
      <c r="G175" s="1" t="s">
        <v>29</v>
      </c>
      <c r="H175" s="3">
        <v>2</v>
      </c>
      <c r="I175" s="3">
        <v>299.99</v>
      </c>
      <c r="J175" s="1" t="s">
        <v>71</v>
      </c>
      <c r="K175" s="1" t="s">
        <v>98</v>
      </c>
      <c r="L175" s="1" t="s">
        <v>73</v>
      </c>
      <c r="M175" s="2">
        <v>44771</v>
      </c>
      <c r="N175" s="3">
        <v>599.98</v>
      </c>
      <c r="O175" s="4"/>
      <c r="P175" s="5"/>
    </row>
    <row r="176" spans="1:16" ht="29.5" thickBot="1" x14ac:dyDescent="0.4">
      <c r="A176" s="1" t="s">
        <v>367</v>
      </c>
      <c r="B176" s="2">
        <v>45654</v>
      </c>
      <c r="C176" s="1" t="s">
        <v>168</v>
      </c>
      <c r="D176" s="1" t="s">
        <v>169</v>
      </c>
      <c r="E176" s="1" t="s">
        <v>174</v>
      </c>
      <c r="F176" s="1" t="s">
        <v>175</v>
      </c>
      <c r="G176" s="1" t="s">
        <v>29</v>
      </c>
      <c r="H176" s="3">
        <v>4</v>
      </c>
      <c r="I176" s="3">
        <v>199.99</v>
      </c>
      <c r="J176" s="1" t="s">
        <v>77</v>
      </c>
      <c r="K176" s="1" t="s">
        <v>72</v>
      </c>
      <c r="L176" s="1" t="s">
        <v>73</v>
      </c>
      <c r="M176" s="2">
        <v>44523</v>
      </c>
      <c r="N176" s="3">
        <v>799.96</v>
      </c>
      <c r="O176" s="4"/>
      <c r="P176" s="5"/>
    </row>
    <row r="177" spans="1:16" ht="29.5" thickBot="1" x14ac:dyDescent="0.4">
      <c r="A177" s="1" t="s">
        <v>368</v>
      </c>
      <c r="B177" s="2">
        <v>45655</v>
      </c>
      <c r="C177" s="1" t="s">
        <v>107</v>
      </c>
      <c r="D177" s="1" t="s">
        <v>108</v>
      </c>
      <c r="E177" s="1" t="s">
        <v>165</v>
      </c>
      <c r="F177" s="1" t="s">
        <v>166</v>
      </c>
      <c r="G177" s="1" t="s">
        <v>28</v>
      </c>
      <c r="H177" s="3">
        <v>1</v>
      </c>
      <c r="I177" s="3">
        <v>89.99</v>
      </c>
      <c r="J177" s="1" t="s">
        <v>77</v>
      </c>
      <c r="K177" s="1" t="s">
        <v>52</v>
      </c>
      <c r="L177" s="1" t="s">
        <v>78</v>
      </c>
      <c r="M177" s="2">
        <v>44591</v>
      </c>
      <c r="N177" s="3">
        <v>89.99</v>
      </c>
      <c r="O177" s="4"/>
      <c r="P177" s="5"/>
    </row>
    <row r="178" spans="1:16" ht="29.5" thickBot="1" x14ac:dyDescent="0.4">
      <c r="A178" s="1" t="s">
        <v>369</v>
      </c>
      <c r="B178" s="2">
        <v>45655</v>
      </c>
      <c r="C178" s="1" t="s">
        <v>156</v>
      </c>
      <c r="D178" s="1" t="s">
        <v>157</v>
      </c>
      <c r="E178" s="1" t="s">
        <v>93</v>
      </c>
      <c r="F178" s="1" t="s">
        <v>94</v>
      </c>
      <c r="G178" s="1" t="s">
        <v>29</v>
      </c>
      <c r="H178" s="3">
        <v>5</v>
      </c>
      <c r="I178" s="3">
        <v>149.99</v>
      </c>
      <c r="J178" s="1" t="s">
        <v>71</v>
      </c>
      <c r="K178" s="1" t="s">
        <v>72</v>
      </c>
      <c r="L178" s="1" t="s">
        <v>78</v>
      </c>
      <c r="M178" s="2">
        <v>45347</v>
      </c>
      <c r="N178" s="3">
        <v>749.95</v>
      </c>
      <c r="O178" s="4"/>
      <c r="P178" s="5"/>
    </row>
    <row r="179" spans="1:16" ht="29.5" thickBot="1" x14ac:dyDescent="0.4">
      <c r="A179" s="1" t="s">
        <v>370</v>
      </c>
      <c r="B179" s="2">
        <v>45657</v>
      </c>
      <c r="C179" s="1" t="s">
        <v>134</v>
      </c>
      <c r="D179" s="1" t="s">
        <v>135</v>
      </c>
      <c r="E179" s="1" t="s">
        <v>109</v>
      </c>
      <c r="F179" s="1" t="s">
        <v>110</v>
      </c>
      <c r="G179" s="1" t="s">
        <v>28</v>
      </c>
      <c r="H179" s="3">
        <v>1</v>
      </c>
      <c r="I179" s="3">
        <v>899.99</v>
      </c>
      <c r="J179" s="1" t="s">
        <v>84</v>
      </c>
      <c r="K179" s="1" t="s">
        <v>89</v>
      </c>
      <c r="L179" s="1" t="s">
        <v>78</v>
      </c>
      <c r="M179" s="2">
        <v>45050</v>
      </c>
      <c r="N179" s="3">
        <v>899.99</v>
      </c>
      <c r="O179" s="4"/>
      <c r="P179" s="5"/>
    </row>
    <row r="180" spans="1:16" ht="29.5" thickBot="1" x14ac:dyDescent="0.4">
      <c r="A180" s="1" t="s">
        <v>371</v>
      </c>
      <c r="B180" s="2">
        <v>45660</v>
      </c>
      <c r="C180" s="1" t="s">
        <v>195</v>
      </c>
      <c r="D180" s="1" t="s">
        <v>196</v>
      </c>
      <c r="E180" s="1" t="s">
        <v>165</v>
      </c>
      <c r="F180" s="1" t="s">
        <v>166</v>
      </c>
      <c r="G180" s="1" t="s">
        <v>28</v>
      </c>
      <c r="H180" s="3">
        <v>2</v>
      </c>
      <c r="I180" s="3">
        <v>89.99</v>
      </c>
      <c r="J180" s="1" t="s">
        <v>77</v>
      </c>
      <c r="K180" s="1" t="s">
        <v>52</v>
      </c>
      <c r="L180" s="1" t="s">
        <v>78</v>
      </c>
      <c r="M180" s="2">
        <v>44564</v>
      </c>
      <c r="N180" s="3">
        <v>179.98</v>
      </c>
      <c r="O180" s="4"/>
      <c r="P180" s="5"/>
    </row>
    <row r="181" spans="1:16" ht="29.5" thickBot="1" x14ac:dyDescent="0.4">
      <c r="A181" s="1" t="s">
        <v>372</v>
      </c>
      <c r="B181" s="2">
        <v>45661</v>
      </c>
      <c r="C181" s="1" t="s">
        <v>373</v>
      </c>
      <c r="D181" s="1" t="s">
        <v>374</v>
      </c>
      <c r="E181" s="1" t="s">
        <v>109</v>
      </c>
      <c r="F181" s="1" t="s">
        <v>110</v>
      </c>
      <c r="G181" s="1" t="s">
        <v>28</v>
      </c>
      <c r="H181" s="3">
        <v>1</v>
      </c>
      <c r="I181" s="3">
        <v>899.99</v>
      </c>
      <c r="J181" s="1" t="s">
        <v>84</v>
      </c>
      <c r="K181" s="1" t="s">
        <v>89</v>
      </c>
      <c r="L181" s="1" t="s">
        <v>85</v>
      </c>
      <c r="M181" s="2">
        <v>44752</v>
      </c>
      <c r="N181" s="3">
        <v>899.99</v>
      </c>
      <c r="O181" s="4"/>
      <c r="P181" s="5"/>
    </row>
    <row r="182" spans="1:16" ht="44" thickBot="1" x14ac:dyDescent="0.4">
      <c r="A182" s="1" t="s">
        <v>375</v>
      </c>
      <c r="B182" s="2">
        <v>45663</v>
      </c>
      <c r="C182" s="1" t="s">
        <v>177</v>
      </c>
      <c r="D182" s="1" t="s">
        <v>178</v>
      </c>
      <c r="E182" s="1" t="s">
        <v>100</v>
      </c>
      <c r="F182" s="1" t="s">
        <v>101</v>
      </c>
      <c r="G182" s="1" t="s">
        <v>28</v>
      </c>
      <c r="H182" s="3">
        <v>5</v>
      </c>
      <c r="I182" s="3">
        <v>149.99</v>
      </c>
      <c r="J182" s="1" t="s">
        <v>84</v>
      </c>
      <c r="K182" s="1" t="s">
        <v>111</v>
      </c>
      <c r="L182" s="1" t="s">
        <v>78</v>
      </c>
      <c r="M182" s="2">
        <v>44824</v>
      </c>
      <c r="N182" s="3">
        <v>749.95</v>
      </c>
      <c r="O182" s="4"/>
      <c r="P182" s="5"/>
    </row>
    <row r="183" spans="1:16" ht="29.5" thickBot="1" x14ac:dyDescent="0.4">
      <c r="A183" s="1" t="s">
        <v>376</v>
      </c>
      <c r="B183" s="2">
        <v>45663</v>
      </c>
      <c r="C183" s="1" t="s">
        <v>91</v>
      </c>
      <c r="D183" s="1" t="s">
        <v>92</v>
      </c>
      <c r="E183" s="1" t="s">
        <v>153</v>
      </c>
      <c r="F183" s="1" t="s">
        <v>154</v>
      </c>
      <c r="G183" s="1" t="s">
        <v>29</v>
      </c>
      <c r="H183" s="3">
        <v>3</v>
      </c>
      <c r="I183" s="3">
        <v>299.99</v>
      </c>
      <c r="J183" s="1" t="s">
        <v>71</v>
      </c>
      <c r="K183" s="1" t="s">
        <v>52</v>
      </c>
      <c r="L183" s="1" t="s">
        <v>85</v>
      </c>
      <c r="M183" s="2">
        <v>44422</v>
      </c>
      <c r="N183" s="3">
        <v>899.97</v>
      </c>
      <c r="O183" s="4"/>
      <c r="P183" s="5"/>
    </row>
    <row r="184" spans="1:16" ht="29.5" thickBot="1" x14ac:dyDescent="0.4">
      <c r="A184" s="1" t="s">
        <v>377</v>
      </c>
      <c r="B184" s="2">
        <v>45666</v>
      </c>
      <c r="C184" s="1" t="s">
        <v>113</v>
      </c>
      <c r="D184" s="1" t="s">
        <v>114</v>
      </c>
      <c r="E184" s="1" t="s">
        <v>128</v>
      </c>
      <c r="F184" s="1" t="s">
        <v>129</v>
      </c>
      <c r="G184" s="1" t="s">
        <v>28</v>
      </c>
      <c r="H184" s="3">
        <v>3</v>
      </c>
      <c r="I184" s="3">
        <v>699.99</v>
      </c>
      <c r="J184" s="1" t="s">
        <v>77</v>
      </c>
      <c r="K184" s="1" t="s">
        <v>72</v>
      </c>
      <c r="L184" s="1" t="s">
        <v>78</v>
      </c>
      <c r="M184" s="2">
        <v>45105</v>
      </c>
      <c r="N184" s="3">
        <v>2099.9699999999998</v>
      </c>
      <c r="O184" s="4"/>
      <c r="P184" s="5"/>
    </row>
    <row r="185" spans="1:16" ht="29.5" thickBot="1" x14ac:dyDescent="0.4">
      <c r="A185" s="1" t="s">
        <v>378</v>
      </c>
      <c r="B185" s="2">
        <v>45667</v>
      </c>
      <c r="C185" s="1" t="s">
        <v>156</v>
      </c>
      <c r="D185" s="1" t="s">
        <v>157</v>
      </c>
      <c r="E185" s="1" t="s">
        <v>174</v>
      </c>
      <c r="F185" s="1" t="s">
        <v>175</v>
      </c>
      <c r="G185" s="1" t="s">
        <v>29</v>
      </c>
      <c r="H185" s="3">
        <v>5</v>
      </c>
      <c r="I185" s="3">
        <v>199.99</v>
      </c>
      <c r="J185" s="1" t="s">
        <v>84</v>
      </c>
      <c r="K185" s="1" t="s">
        <v>72</v>
      </c>
      <c r="L185" s="1" t="s">
        <v>85</v>
      </c>
      <c r="M185" s="2">
        <v>44633</v>
      </c>
      <c r="N185" s="3">
        <v>999.95</v>
      </c>
      <c r="O185" s="4"/>
      <c r="P185" s="5"/>
    </row>
    <row r="186" spans="1:16" ht="29.5" thickBot="1" x14ac:dyDescent="0.4">
      <c r="A186" s="1" t="s">
        <v>379</v>
      </c>
      <c r="B186" s="2">
        <v>45667</v>
      </c>
      <c r="C186" s="1" t="s">
        <v>141</v>
      </c>
      <c r="D186" s="1" t="s">
        <v>142</v>
      </c>
      <c r="E186" s="1" t="s">
        <v>69</v>
      </c>
      <c r="F186" s="1" t="s">
        <v>70</v>
      </c>
      <c r="G186" s="1" t="s">
        <v>28</v>
      </c>
      <c r="H186" s="3">
        <v>5</v>
      </c>
      <c r="I186" s="3">
        <v>249.99</v>
      </c>
      <c r="J186" s="1" t="s">
        <v>77</v>
      </c>
      <c r="K186" s="1" t="s">
        <v>52</v>
      </c>
      <c r="L186" s="1" t="s">
        <v>73</v>
      </c>
      <c r="M186" s="2">
        <v>45330</v>
      </c>
      <c r="N186" s="3">
        <v>1249.95</v>
      </c>
      <c r="O186" s="4"/>
      <c r="P186" s="5"/>
    </row>
    <row r="187" spans="1:16" ht="29.5" thickBot="1" x14ac:dyDescent="0.4">
      <c r="A187" s="1" t="s">
        <v>380</v>
      </c>
      <c r="B187" s="2">
        <v>45668</v>
      </c>
      <c r="C187" s="1" t="s">
        <v>186</v>
      </c>
      <c r="D187" s="1" t="s">
        <v>187</v>
      </c>
      <c r="E187" s="1" t="s">
        <v>100</v>
      </c>
      <c r="F187" s="1" t="s">
        <v>101</v>
      </c>
      <c r="G187" s="1" t="s">
        <v>28</v>
      </c>
      <c r="H187" s="3">
        <v>4</v>
      </c>
      <c r="I187" s="3">
        <v>149.99</v>
      </c>
      <c r="J187" s="1" t="s">
        <v>105</v>
      </c>
      <c r="K187" s="1" t="s">
        <v>111</v>
      </c>
      <c r="L187" s="1" t="s">
        <v>85</v>
      </c>
      <c r="M187" s="2">
        <v>44536</v>
      </c>
      <c r="N187" s="3">
        <v>599.96</v>
      </c>
      <c r="O187" s="4"/>
      <c r="P187" s="5"/>
    </row>
    <row r="188" spans="1:16" ht="29.5" thickBot="1" x14ac:dyDescent="0.4">
      <c r="A188" s="1" t="s">
        <v>381</v>
      </c>
      <c r="B188" s="2">
        <v>45668</v>
      </c>
      <c r="C188" s="1" t="s">
        <v>126</v>
      </c>
      <c r="D188" s="1" t="s">
        <v>127</v>
      </c>
      <c r="E188" s="1" t="s">
        <v>128</v>
      </c>
      <c r="F188" s="1" t="s">
        <v>129</v>
      </c>
      <c r="G188" s="1" t="s">
        <v>28</v>
      </c>
      <c r="H188" s="3">
        <v>3</v>
      </c>
      <c r="I188" s="3">
        <v>699.99</v>
      </c>
      <c r="J188" s="1" t="s">
        <v>71</v>
      </c>
      <c r="K188" s="1" t="s">
        <v>89</v>
      </c>
      <c r="L188" s="1" t="s">
        <v>78</v>
      </c>
      <c r="M188" s="2">
        <v>44602</v>
      </c>
      <c r="N188" s="3">
        <v>2099.9699999999998</v>
      </c>
      <c r="O188" s="4"/>
      <c r="P188" s="5"/>
    </row>
    <row r="189" spans="1:16" ht="29.5" thickBot="1" x14ac:dyDescent="0.4">
      <c r="A189" s="1" t="s">
        <v>382</v>
      </c>
      <c r="B189" s="2">
        <v>45670</v>
      </c>
      <c r="C189" s="1" t="s">
        <v>341</v>
      </c>
      <c r="D189" s="1" t="s">
        <v>342</v>
      </c>
      <c r="E189" s="1" t="s">
        <v>162</v>
      </c>
      <c r="F189" s="1" t="s">
        <v>163</v>
      </c>
      <c r="G189" s="1" t="s">
        <v>27</v>
      </c>
      <c r="H189" s="3">
        <v>1</v>
      </c>
      <c r="I189" s="3">
        <v>79.989999999999995</v>
      </c>
      <c r="J189" s="1" t="s">
        <v>77</v>
      </c>
      <c r="K189" s="1" t="s">
        <v>52</v>
      </c>
      <c r="L189" s="1" t="s">
        <v>73</v>
      </c>
      <c r="M189" s="2">
        <v>45322</v>
      </c>
      <c r="N189" s="3">
        <v>79.989999999999995</v>
      </c>
      <c r="O189" s="4"/>
      <c r="P189" s="5"/>
    </row>
    <row r="190" spans="1:16" ht="29.5" thickBot="1" x14ac:dyDescent="0.4">
      <c r="A190" s="1" t="s">
        <v>383</v>
      </c>
      <c r="B190" s="2">
        <v>45670</v>
      </c>
      <c r="C190" s="1" t="s">
        <v>134</v>
      </c>
      <c r="D190" s="1" t="s">
        <v>135</v>
      </c>
      <c r="E190" s="1" t="s">
        <v>153</v>
      </c>
      <c r="F190" s="1" t="s">
        <v>154</v>
      </c>
      <c r="G190" s="1" t="s">
        <v>29</v>
      </c>
      <c r="H190" s="3">
        <v>1</v>
      </c>
      <c r="I190" s="3">
        <v>299.99</v>
      </c>
      <c r="J190" s="1" t="s">
        <v>77</v>
      </c>
      <c r="K190" s="1" t="s">
        <v>89</v>
      </c>
      <c r="L190" s="1" t="s">
        <v>73</v>
      </c>
      <c r="M190" s="2">
        <v>44436</v>
      </c>
      <c r="N190" s="3">
        <v>299.99</v>
      </c>
      <c r="O190" s="4"/>
      <c r="P190" s="5"/>
    </row>
    <row r="191" spans="1:16" ht="29.5" thickBot="1" x14ac:dyDescent="0.4">
      <c r="A191" s="1" t="s">
        <v>384</v>
      </c>
      <c r="B191" s="2">
        <v>45671</v>
      </c>
      <c r="C191" s="1" t="s">
        <v>206</v>
      </c>
      <c r="D191" s="1" t="s">
        <v>207</v>
      </c>
      <c r="E191" s="1" t="s">
        <v>69</v>
      </c>
      <c r="F191" s="1" t="s">
        <v>70</v>
      </c>
      <c r="G191" s="1" t="s">
        <v>28</v>
      </c>
      <c r="H191" s="3">
        <v>4</v>
      </c>
      <c r="I191" s="3">
        <v>249.99</v>
      </c>
      <c r="J191" s="1" t="s">
        <v>77</v>
      </c>
      <c r="K191" s="1" t="s">
        <v>89</v>
      </c>
      <c r="L191" s="1" t="s">
        <v>78</v>
      </c>
      <c r="M191" s="2">
        <v>44460</v>
      </c>
      <c r="N191" s="3">
        <v>999.96</v>
      </c>
      <c r="O191" s="4"/>
      <c r="P191" s="5"/>
    </row>
    <row r="192" spans="1:16" ht="29.5" thickBot="1" x14ac:dyDescent="0.4">
      <c r="A192" s="1" t="s">
        <v>385</v>
      </c>
      <c r="B192" s="2">
        <v>45671</v>
      </c>
      <c r="C192" s="1" t="s">
        <v>168</v>
      </c>
      <c r="D192" s="1" t="s">
        <v>169</v>
      </c>
      <c r="E192" s="1" t="s">
        <v>100</v>
      </c>
      <c r="F192" s="1" t="s">
        <v>101</v>
      </c>
      <c r="G192" s="1" t="s">
        <v>28</v>
      </c>
      <c r="H192" s="3">
        <v>2</v>
      </c>
      <c r="I192" s="3">
        <v>149.99</v>
      </c>
      <c r="J192" s="1" t="s">
        <v>71</v>
      </c>
      <c r="K192" s="1" t="s">
        <v>89</v>
      </c>
      <c r="L192" s="1" t="s">
        <v>85</v>
      </c>
      <c r="M192" s="2">
        <v>44913</v>
      </c>
      <c r="N192" s="3">
        <v>299.98</v>
      </c>
      <c r="O192" s="4"/>
      <c r="P192" s="5"/>
    </row>
    <row r="193" spans="1:16" ht="29.5" thickBot="1" x14ac:dyDescent="0.4">
      <c r="A193" s="1" t="s">
        <v>386</v>
      </c>
      <c r="B193" s="2">
        <v>45671</v>
      </c>
      <c r="C193" s="1" t="s">
        <v>282</v>
      </c>
      <c r="D193" s="1" t="s">
        <v>283</v>
      </c>
      <c r="E193" s="1" t="s">
        <v>153</v>
      </c>
      <c r="F193" s="1" t="s">
        <v>154</v>
      </c>
      <c r="G193" s="1" t="s">
        <v>29</v>
      </c>
      <c r="H193" s="3">
        <v>3</v>
      </c>
      <c r="I193" s="3">
        <v>299.99</v>
      </c>
      <c r="J193" s="1" t="s">
        <v>77</v>
      </c>
      <c r="K193" s="1" t="s">
        <v>52</v>
      </c>
      <c r="L193" s="1" t="s">
        <v>73</v>
      </c>
      <c r="M193" s="2">
        <v>45204</v>
      </c>
      <c r="N193" s="3">
        <v>899.97</v>
      </c>
      <c r="O193" s="4"/>
      <c r="P193" s="5"/>
    </row>
    <row r="194" spans="1:16" ht="29.5" thickBot="1" x14ac:dyDescent="0.4">
      <c r="A194" s="1" t="s">
        <v>387</v>
      </c>
      <c r="B194" s="2">
        <v>45673</v>
      </c>
      <c r="C194" s="1" t="s">
        <v>274</v>
      </c>
      <c r="D194" s="1" t="s">
        <v>275</v>
      </c>
      <c r="E194" s="1" t="s">
        <v>174</v>
      </c>
      <c r="F194" s="1" t="s">
        <v>175</v>
      </c>
      <c r="G194" s="1" t="s">
        <v>29</v>
      </c>
      <c r="H194" s="3">
        <v>4</v>
      </c>
      <c r="I194" s="3">
        <v>199.99</v>
      </c>
      <c r="J194" s="1" t="s">
        <v>105</v>
      </c>
      <c r="K194" s="1" t="s">
        <v>52</v>
      </c>
      <c r="L194" s="1" t="s">
        <v>85</v>
      </c>
      <c r="M194" s="2">
        <v>44544</v>
      </c>
      <c r="N194" s="3">
        <v>799.96</v>
      </c>
      <c r="O194" s="4"/>
      <c r="P194" s="5"/>
    </row>
    <row r="195" spans="1:16" ht="29.5" thickBot="1" x14ac:dyDescent="0.4">
      <c r="A195" s="1" t="s">
        <v>388</v>
      </c>
      <c r="B195" s="2">
        <v>45673</v>
      </c>
      <c r="C195" s="1" t="s">
        <v>259</v>
      </c>
      <c r="D195" s="1" t="s">
        <v>260</v>
      </c>
      <c r="E195" s="1" t="s">
        <v>153</v>
      </c>
      <c r="F195" s="1" t="s">
        <v>154</v>
      </c>
      <c r="G195" s="1" t="s">
        <v>29</v>
      </c>
      <c r="H195" s="3">
        <v>5</v>
      </c>
      <c r="I195" s="3">
        <v>299.99</v>
      </c>
      <c r="J195" s="1" t="s">
        <v>105</v>
      </c>
      <c r="K195" s="1" t="s">
        <v>72</v>
      </c>
      <c r="L195" s="1" t="s">
        <v>73</v>
      </c>
      <c r="M195" s="2">
        <v>44431</v>
      </c>
      <c r="N195" s="3">
        <v>1499.95</v>
      </c>
      <c r="O195" s="4"/>
      <c r="P195" s="5"/>
    </row>
    <row r="196" spans="1:16" ht="29.5" thickBot="1" x14ac:dyDescent="0.4">
      <c r="A196" s="1" t="s">
        <v>389</v>
      </c>
      <c r="B196" s="2">
        <v>45673</v>
      </c>
      <c r="C196" s="1" t="s">
        <v>107</v>
      </c>
      <c r="D196" s="1" t="s">
        <v>108</v>
      </c>
      <c r="E196" s="1" t="s">
        <v>93</v>
      </c>
      <c r="F196" s="1" t="s">
        <v>94</v>
      </c>
      <c r="G196" s="1" t="s">
        <v>29</v>
      </c>
      <c r="H196" s="3">
        <v>3</v>
      </c>
      <c r="I196" s="3">
        <v>149.99</v>
      </c>
      <c r="J196" s="1" t="s">
        <v>77</v>
      </c>
      <c r="K196" s="1" t="s">
        <v>111</v>
      </c>
      <c r="L196" s="1" t="s">
        <v>85</v>
      </c>
      <c r="M196" s="2">
        <v>44395</v>
      </c>
      <c r="N196" s="3">
        <v>449.97</v>
      </c>
      <c r="O196" s="4"/>
      <c r="P196" s="5"/>
    </row>
    <row r="197" spans="1:16" ht="44" thickBot="1" x14ac:dyDescent="0.4">
      <c r="A197" s="1" t="s">
        <v>390</v>
      </c>
      <c r="B197" s="2">
        <v>45676</v>
      </c>
      <c r="C197" s="1" t="s">
        <v>177</v>
      </c>
      <c r="D197" s="1" t="s">
        <v>178</v>
      </c>
      <c r="E197" s="1" t="s">
        <v>82</v>
      </c>
      <c r="F197" s="1" t="s">
        <v>83</v>
      </c>
      <c r="G197" s="1" t="s">
        <v>27</v>
      </c>
      <c r="H197" s="3">
        <v>5</v>
      </c>
      <c r="I197" s="3">
        <v>59.99</v>
      </c>
      <c r="J197" s="1" t="s">
        <v>105</v>
      </c>
      <c r="K197" s="1" t="s">
        <v>111</v>
      </c>
      <c r="L197" s="1" t="s">
        <v>73</v>
      </c>
      <c r="M197" s="2">
        <v>44642</v>
      </c>
      <c r="N197" s="3">
        <v>299.95</v>
      </c>
      <c r="O197" s="4"/>
      <c r="P197" s="5"/>
    </row>
    <row r="198" spans="1:16" ht="29.5" thickBot="1" x14ac:dyDescent="0.4">
      <c r="A198" s="1" t="s">
        <v>391</v>
      </c>
      <c r="B198" s="2">
        <v>45682</v>
      </c>
      <c r="C198" s="1" t="s">
        <v>116</v>
      </c>
      <c r="D198" s="1" t="s">
        <v>117</v>
      </c>
      <c r="E198" s="1" t="s">
        <v>82</v>
      </c>
      <c r="F198" s="1" t="s">
        <v>83</v>
      </c>
      <c r="G198" s="1" t="s">
        <v>27</v>
      </c>
      <c r="H198" s="3">
        <v>4</v>
      </c>
      <c r="I198" s="3">
        <v>59.99</v>
      </c>
      <c r="J198" s="1" t="s">
        <v>105</v>
      </c>
      <c r="K198" s="1" t="s">
        <v>111</v>
      </c>
      <c r="L198" s="1" t="s">
        <v>85</v>
      </c>
      <c r="M198" s="2">
        <v>44564</v>
      </c>
      <c r="N198" s="3">
        <v>239.96</v>
      </c>
      <c r="O198" s="4"/>
      <c r="P198" s="5"/>
    </row>
    <row r="199" spans="1:16" ht="29.5" thickBot="1" x14ac:dyDescent="0.4">
      <c r="A199" s="1" t="s">
        <v>392</v>
      </c>
      <c r="B199" s="2">
        <v>45683</v>
      </c>
      <c r="C199" s="1" t="s">
        <v>96</v>
      </c>
      <c r="D199" s="1" t="s">
        <v>97</v>
      </c>
      <c r="E199" s="1" t="s">
        <v>69</v>
      </c>
      <c r="F199" s="1" t="s">
        <v>70</v>
      </c>
      <c r="G199" s="1" t="s">
        <v>28</v>
      </c>
      <c r="H199" s="3">
        <v>4</v>
      </c>
      <c r="I199" s="3">
        <v>249.99</v>
      </c>
      <c r="J199" s="1" t="s">
        <v>105</v>
      </c>
      <c r="K199" s="1" t="s">
        <v>72</v>
      </c>
      <c r="L199" s="1" t="s">
        <v>78</v>
      </c>
      <c r="M199" s="2">
        <v>45217</v>
      </c>
      <c r="N199" s="3">
        <v>999.96</v>
      </c>
      <c r="O199" s="4"/>
      <c r="P199" s="5"/>
    </row>
    <row r="200" spans="1:16" ht="29.5" thickBot="1" x14ac:dyDescent="0.4">
      <c r="A200" s="1" t="s">
        <v>393</v>
      </c>
      <c r="B200" s="2">
        <v>45686</v>
      </c>
      <c r="C200" s="1" t="s">
        <v>300</v>
      </c>
      <c r="D200" s="1" t="s">
        <v>301</v>
      </c>
      <c r="E200" s="1" t="s">
        <v>109</v>
      </c>
      <c r="F200" s="1" t="s">
        <v>110</v>
      </c>
      <c r="G200" s="1" t="s">
        <v>28</v>
      </c>
      <c r="H200" s="3">
        <v>4</v>
      </c>
      <c r="I200" s="3">
        <v>899.99</v>
      </c>
      <c r="J200" s="1" t="s">
        <v>84</v>
      </c>
      <c r="K200" s="1" t="s">
        <v>72</v>
      </c>
      <c r="L200" s="1" t="s">
        <v>73</v>
      </c>
      <c r="M200" s="2">
        <v>44734</v>
      </c>
      <c r="N200" s="3">
        <v>3599.96</v>
      </c>
      <c r="O200" s="4"/>
      <c r="P200" s="5"/>
    </row>
    <row r="201" spans="1:16" ht="29.5" thickBot="1" x14ac:dyDescent="0.4">
      <c r="A201" s="1" t="s">
        <v>394</v>
      </c>
      <c r="B201" s="2">
        <v>45686</v>
      </c>
      <c r="C201" s="1" t="s">
        <v>134</v>
      </c>
      <c r="D201" s="1" t="s">
        <v>135</v>
      </c>
      <c r="E201" s="1" t="s">
        <v>153</v>
      </c>
      <c r="F201" s="1" t="s">
        <v>154</v>
      </c>
      <c r="G201" s="1" t="s">
        <v>29</v>
      </c>
      <c r="H201" s="3">
        <v>3</v>
      </c>
      <c r="I201" s="3">
        <v>299.99</v>
      </c>
      <c r="J201" s="1" t="s">
        <v>105</v>
      </c>
      <c r="K201" s="1" t="s">
        <v>98</v>
      </c>
      <c r="L201" s="1" t="s">
        <v>85</v>
      </c>
      <c r="M201" s="2">
        <v>44952</v>
      </c>
      <c r="N201" s="3">
        <v>899.97</v>
      </c>
      <c r="O201" s="4"/>
      <c r="P201" s="5"/>
    </row>
    <row r="202" spans="1:16" ht="29.5" thickBot="1" x14ac:dyDescent="0.4">
      <c r="A202" s="1" t="s">
        <v>395</v>
      </c>
      <c r="B202" s="2">
        <v>45686</v>
      </c>
      <c r="C202" s="1" t="s">
        <v>341</v>
      </c>
      <c r="D202" s="1" t="s">
        <v>342</v>
      </c>
      <c r="E202" s="1" t="s">
        <v>128</v>
      </c>
      <c r="F202" s="1" t="s">
        <v>129</v>
      </c>
      <c r="G202" s="1" t="s">
        <v>28</v>
      </c>
      <c r="H202" s="3">
        <v>2</v>
      </c>
      <c r="I202" s="3">
        <v>699.99</v>
      </c>
      <c r="J202" s="1" t="s">
        <v>105</v>
      </c>
      <c r="K202" s="1" t="s">
        <v>72</v>
      </c>
      <c r="L202" s="1" t="s">
        <v>78</v>
      </c>
      <c r="M202" s="2">
        <v>44681</v>
      </c>
      <c r="N202" s="3">
        <v>1399.98</v>
      </c>
      <c r="O202" s="4"/>
      <c r="P202" s="5"/>
    </row>
    <row r="203" spans="1:16" ht="29.5" thickBot="1" x14ac:dyDescent="0.4">
      <c r="A203" s="1" t="s">
        <v>396</v>
      </c>
      <c r="B203" s="2">
        <v>45688</v>
      </c>
      <c r="C203" s="1" t="s">
        <v>113</v>
      </c>
      <c r="D203" s="1" t="s">
        <v>114</v>
      </c>
      <c r="E203" s="1" t="s">
        <v>128</v>
      </c>
      <c r="F203" s="1" t="s">
        <v>129</v>
      </c>
      <c r="G203" s="1" t="s">
        <v>28</v>
      </c>
      <c r="H203" s="3">
        <v>4</v>
      </c>
      <c r="I203" s="3">
        <v>699.99</v>
      </c>
      <c r="J203" s="1" t="s">
        <v>105</v>
      </c>
      <c r="K203" s="1" t="s">
        <v>98</v>
      </c>
      <c r="L203" s="1" t="s">
        <v>78</v>
      </c>
      <c r="M203" s="2">
        <v>44692</v>
      </c>
      <c r="N203" s="3">
        <v>2799.96</v>
      </c>
      <c r="O203" s="4"/>
      <c r="P203" s="5"/>
    </row>
    <row r="204" spans="1:16" ht="29.5" thickBot="1" x14ac:dyDescent="0.4">
      <c r="A204" s="1" t="s">
        <v>397</v>
      </c>
      <c r="B204" s="2">
        <v>45688</v>
      </c>
      <c r="C204" s="1" t="s">
        <v>171</v>
      </c>
      <c r="D204" s="1" t="s">
        <v>172</v>
      </c>
      <c r="E204" s="1" t="s">
        <v>165</v>
      </c>
      <c r="F204" s="1" t="s">
        <v>166</v>
      </c>
      <c r="G204" s="1" t="s">
        <v>28</v>
      </c>
      <c r="H204" s="3">
        <v>2</v>
      </c>
      <c r="I204" s="3">
        <v>89.99</v>
      </c>
      <c r="J204" s="1" t="s">
        <v>105</v>
      </c>
      <c r="K204" s="1" t="s">
        <v>52</v>
      </c>
      <c r="L204" s="1" t="s">
        <v>73</v>
      </c>
      <c r="M204" s="2">
        <v>44777</v>
      </c>
      <c r="N204" s="3">
        <v>179.98</v>
      </c>
      <c r="O204" s="4"/>
      <c r="P204" s="5"/>
    </row>
    <row r="205" spans="1:16" ht="29.5" thickBot="1" x14ac:dyDescent="0.4">
      <c r="A205" s="1" t="s">
        <v>398</v>
      </c>
      <c r="B205" s="2">
        <v>45688</v>
      </c>
      <c r="C205" s="1" t="s">
        <v>91</v>
      </c>
      <c r="D205" s="1" t="s">
        <v>92</v>
      </c>
      <c r="E205" s="1" t="s">
        <v>165</v>
      </c>
      <c r="F205" s="1" t="s">
        <v>166</v>
      </c>
      <c r="G205" s="1" t="s">
        <v>28</v>
      </c>
      <c r="H205" s="3">
        <v>3</v>
      </c>
      <c r="I205" s="3">
        <v>89.99</v>
      </c>
      <c r="J205" s="1" t="s">
        <v>105</v>
      </c>
      <c r="K205" s="1" t="s">
        <v>52</v>
      </c>
      <c r="L205" s="1" t="s">
        <v>78</v>
      </c>
      <c r="M205" s="2">
        <v>45307</v>
      </c>
      <c r="N205" s="3">
        <v>269.97000000000003</v>
      </c>
      <c r="O205" s="4"/>
      <c r="P205" s="5"/>
    </row>
    <row r="206" spans="1:16" ht="29.5" thickBot="1" x14ac:dyDescent="0.4">
      <c r="A206" s="1" t="s">
        <v>399</v>
      </c>
      <c r="B206" s="2">
        <v>45692</v>
      </c>
      <c r="C206" s="1" t="s">
        <v>373</v>
      </c>
      <c r="D206" s="1" t="s">
        <v>374</v>
      </c>
      <c r="E206" s="1" t="s">
        <v>82</v>
      </c>
      <c r="F206" s="1" t="s">
        <v>83</v>
      </c>
      <c r="G206" s="1" t="s">
        <v>27</v>
      </c>
      <c r="H206" s="3">
        <v>1</v>
      </c>
      <c r="I206" s="3">
        <v>59.99</v>
      </c>
      <c r="J206" s="1" t="s">
        <v>105</v>
      </c>
      <c r="K206" s="1" t="s">
        <v>72</v>
      </c>
      <c r="L206" s="1" t="s">
        <v>85</v>
      </c>
      <c r="M206" s="2">
        <v>45045</v>
      </c>
      <c r="N206" s="3">
        <v>59.99</v>
      </c>
      <c r="O206" s="4"/>
      <c r="P206" s="5"/>
    </row>
    <row r="207" spans="1:16" ht="29.5" thickBot="1" x14ac:dyDescent="0.4">
      <c r="A207" s="1" t="s">
        <v>400</v>
      </c>
      <c r="B207" s="2">
        <v>45695</v>
      </c>
      <c r="C207" s="1" t="s">
        <v>294</v>
      </c>
      <c r="D207" s="1" t="s">
        <v>295</v>
      </c>
      <c r="E207" s="1" t="s">
        <v>93</v>
      </c>
      <c r="F207" s="1" t="s">
        <v>94</v>
      </c>
      <c r="G207" s="1" t="s">
        <v>29</v>
      </c>
      <c r="H207" s="3">
        <v>3</v>
      </c>
      <c r="I207" s="3">
        <v>149.99</v>
      </c>
      <c r="J207" s="1" t="s">
        <v>105</v>
      </c>
      <c r="K207" s="1" t="s">
        <v>89</v>
      </c>
      <c r="L207" s="1" t="s">
        <v>78</v>
      </c>
      <c r="M207" s="2">
        <v>44564</v>
      </c>
      <c r="N207" s="3">
        <v>449.97</v>
      </c>
      <c r="O207" s="4"/>
      <c r="P207" s="5"/>
    </row>
    <row r="208" spans="1:16" ht="29.5" thickBot="1" x14ac:dyDescent="0.4">
      <c r="A208" s="1" t="s">
        <v>401</v>
      </c>
      <c r="B208" s="2">
        <v>45695</v>
      </c>
      <c r="C208" s="1" t="s">
        <v>141</v>
      </c>
      <c r="D208" s="1" t="s">
        <v>142</v>
      </c>
      <c r="E208" s="1" t="s">
        <v>153</v>
      </c>
      <c r="F208" s="1" t="s">
        <v>154</v>
      </c>
      <c r="G208" s="1" t="s">
        <v>29</v>
      </c>
      <c r="H208" s="3">
        <v>5</v>
      </c>
      <c r="I208" s="3">
        <v>299.99</v>
      </c>
      <c r="J208" s="1" t="s">
        <v>77</v>
      </c>
      <c r="K208" s="1" t="s">
        <v>52</v>
      </c>
      <c r="L208" s="1" t="s">
        <v>73</v>
      </c>
      <c r="M208" s="2">
        <v>44959</v>
      </c>
      <c r="N208" s="3">
        <v>1499.95</v>
      </c>
      <c r="O208" s="4"/>
      <c r="P208" s="5"/>
    </row>
    <row r="209" spans="1:16" ht="29.5" thickBot="1" x14ac:dyDescent="0.4">
      <c r="A209" s="1" t="s">
        <v>402</v>
      </c>
      <c r="B209" s="2">
        <v>45696</v>
      </c>
      <c r="C209" s="1" t="s">
        <v>198</v>
      </c>
      <c r="D209" s="1" t="s">
        <v>199</v>
      </c>
      <c r="E209" s="1" t="s">
        <v>82</v>
      </c>
      <c r="F209" s="1" t="s">
        <v>83</v>
      </c>
      <c r="G209" s="1" t="s">
        <v>27</v>
      </c>
      <c r="H209" s="3">
        <v>5</v>
      </c>
      <c r="I209" s="3">
        <v>59.99</v>
      </c>
      <c r="J209" s="1" t="s">
        <v>105</v>
      </c>
      <c r="K209" s="1" t="s">
        <v>72</v>
      </c>
      <c r="L209" s="1" t="s">
        <v>85</v>
      </c>
      <c r="M209" s="2">
        <v>45177</v>
      </c>
      <c r="N209" s="3">
        <v>299.95</v>
      </c>
      <c r="O209" s="4"/>
      <c r="P209" s="5"/>
    </row>
    <row r="210" spans="1:16" ht="29.5" thickBot="1" x14ac:dyDescent="0.4">
      <c r="A210" s="1" t="s">
        <v>403</v>
      </c>
      <c r="B210" s="2">
        <v>45701</v>
      </c>
      <c r="C210" s="1" t="s">
        <v>156</v>
      </c>
      <c r="D210" s="1" t="s">
        <v>157</v>
      </c>
      <c r="E210" s="1" t="s">
        <v>162</v>
      </c>
      <c r="F210" s="1" t="s">
        <v>163</v>
      </c>
      <c r="G210" s="1" t="s">
        <v>27</v>
      </c>
      <c r="H210" s="3">
        <v>3</v>
      </c>
      <c r="I210" s="3">
        <v>79.989999999999995</v>
      </c>
      <c r="J210" s="1" t="s">
        <v>71</v>
      </c>
      <c r="K210" s="1" t="s">
        <v>111</v>
      </c>
      <c r="L210" s="1" t="s">
        <v>78</v>
      </c>
      <c r="M210" s="2">
        <v>44436</v>
      </c>
      <c r="N210" s="3">
        <v>239.97</v>
      </c>
      <c r="O210" s="4"/>
      <c r="P210" s="5"/>
    </row>
    <row r="211" spans="1:16" ht="29.5" thickBot="1" x14ac:dyDescent="0.4">
      <c r="A211" s="1" t="s">
        <v>404</v>
      </c>
      <c r="B211" s="2">
        <v>45704</v>
      </c>
      <c r="C211" s="1" t="s">
        <v>80</v>
      </c>
      <c r="D211" s="1" t="s">
        <v>81</v>
      </c>
      <c r="E211" s="1" t="s">
        <v>174</v>
      </c>
      <c r="F211" s="1" t="s">
        <v>175</v>
      </c>
      <c r="G211" s="1" t="s">
        <v>29</v>
      </c>
      <c r="H211" s="3">
        <v>3</v>
      </c>
      <c r="I211" s="3">
        <v>199.99</v>
      </c>
      <c r="J211" s="1" t="s">
        <v>71</v>
      </c>
      <c r="K211" s="1" t="s">
        <v>72</v>
      </c>
      <c r="L211" s="1" t="s">
        <v>73</v>
      </c>
      <c r="M211" s="2">
        <v>44735</v>
      </c>
      <c r="N211" s="3">
        <v>599.97</v>
      </c>
      <c r="O211" s="4"/>
      <c r="P211" s="5"/>
    </row>
    <row r="212" spans="1:16" ht="29.5" thickBot="1" x14ac:dyDescent="0.4">
      <c r="A212" s="1" t="s">
        <v>405</v>
      </c>
      <c r="B212" s="2">
        <v>45704</v>
      </c>
      <c r="C212" s="1" t="s">
        <v>67</v>
      </c>
      <c r="D212" s="1" t="s">
        <v>68</v>
      </c>
      <c r="E212" s="1" t="s">
        <v>165</v>
      </c>
      <c r="F212" s="1" t="s">
        <v>166</v>
      </c>
      <c r="G212" s="1" t="s">
        <v>28</v>
      </c>
      <c r="H212" s="3">
        <v>2</v>
      </c>
      <c r="I212" s="3">
        <v>89.99</v>
      </c>
      <c r="J212" s="1" t="s">
        <v>84</v>
      </c>
      <c r="K212" s="1" t="s">
        <v>72</v>
      </c>
      <c r="L212" s="1" t="s">
        <v>73</v>
      </c>
      <c r="M212" s="2">
        <v>45257</v>
      </c>
      <c r="N212" s="3">
        <v>179.98</v>
      </c>
      <c r="O212" s="4"/>
      <c r="P212" s="5"/>
    </row>
    <row r="213" spans="1:16" ht="29.5" thickBot="1" x14ac:dyDescent="0.4">
      <c r="A213" s="1" t="s">
        <v>406</v>
      </c>
      <c r="B213" s="2">
        <v>45705</v>
      </c>
      <c r="C213" s="1" t="s">
        <v>307</v>
      </c>
      <c r="D213" s="1" t="s">
        <v>308</v>
      </c>
      <c r="E213" s="1" t="s">
        <v>93</v>
      </c>
      <c r="F213" s="1" t="s">
        <v>94</v>
      </c>
      <c r="G213" s="1" t="s">
        <v>29</v>
      </c>
      <c r="H213" s="3">
        <v>2</v>
      </c>
      <c r="I213" s="3">
        <v>149.99</v>
      </c>
      <c r="J213" s="1" t="s">
        <v>71</v>
      </c>
      <c r="K213" s="1" t="s">
        <v>52</v>
      </c>
      <c r="L213" s="1" t="s">
        <v>78</v>
      </c>
      <c r="M213" s="2">
        <v>44728</v>
      </c>
      <c r="N213" s="3">
        <v>299.98</v>
      </c>
      <c r="O213" s="4"/>
      <c r="P213" s="5"/>
    </row>
    <row r="214" spans="1:16" ht="29.5" thickBot="1" x14ac:dyDescent="0.4">
      <c r="A214" s="1" t="s">
        <v>407</v>
      </c>
      <c r="B214" s="2">
        <v>45707</v>
      </c>
      <c r="C214" s="1" t="s">
        <v>171</v>
      </c>
      <c r="D214" s="1" t="s">
        <v>172</v>
      </c>
      <c r="E214" s="1" t="s">
        <v>128</v>
      </c>
      <c r="F214" s="1" t="s">
        <v>129</v>
      </c>
      <c r="G214" s="1" t="s">
        <v>28</v>
      </c>
      <c r="H214" s="3">
        <v>5</v>
      </c>
      <c r="I214" s="3">
        <v>699.99</v>
      </c>
      <c r="J214" s="1" t="s">
        <v>84</v>
      </c>
      <c r="K214" s="1" t="s">
        <v>52</v>
      </c>
      <c r="L214" s="1" t="s">
        <v>78</v>
      </c>
      <c r="M214" s="2">
        <v>45352</v>
      </c>
      <c r="N214" s="3">
        <v>3499.95</v>
      </c>
      <c r="O214" s="4"/>
      <c r="P214" s="5"/>
    </row>
    <row r="215" spans="1:16" ht="29.5" thickBot="1" x14ac:dyDescent="0.4">
      <c r="A215" s="1" t="s">
        <v>408</v>
      </c>
      <c r="B215" s="2">
        <v>45707</v>
      </c>
      <c r="C215" s="1" t="s">
        <v>91</v>
      </c>
      <c r="D215" s="1" t="s">
        <v>92</v>
      </c>
      <c r="E215" s="1" t="s">
        <v>93</v>
      </c>
      <c r="F215" s="1" t="s">
        <v>94</v>
      </c>
      <c r="G215" s="1" t="s">
        <v>29</v>
      </c>
      <c r="H215" s="3">
        <v>3</v>
      </c>
      <c r="I215" s="3">
        <v>149.99</v>
      </c>
      <c r="J215" s="1" t="s">
        <v>84</v>
      </c>
      <c r="K215" s="1" t="s">
        <v>72</v>
      </c>
      <c r="L215" s="1" t="s">
        <v>85</v>
      </c>
      <c r="M215" s="2">
        <v>44633</v>
      </c>
      <c r="N215" s="3">
        <v>449.97</v>
      </c>
      <c r="O215" s="4"/>
      <c r="P215" s="5"/>
    </row>
    <row r="216" spans="1:16" ht="29.5" thickBot="1" x14ac:dyDescent="0.4">
      <c r="A216" s="1" t="s">
        <v>409</v>
      </c>
      <c r="B216" s="2">
        <v>45708</v>
      </c>
      <c r="C216" s="1" t="s">
        <v>144</v>
      </c>
      <c r="D216" s="1" t="s">
        <v>145</v>
      </c>
      <c r="E216" s="1" t="s">
        <v>109</v>
      </c>
      <c r="F216" s="1" t="s">
        <v>110</v>
      </c>
      <c r="G216" s="1" t="s">
        <v>28</v>
      </c>
      <c r="H216" s="3">
        <v>3</v>
      </c>
      <c r="I216" s="3">
        <v>899.99</v>
      </c>
      <c r="J216" s="1" t="s">
        <v>71</v>
      </c>
      <c r="K216" s="1" t="s">
        <v>111</v>
      </c>
      <c r="L216" s="1" t="s">
        <v>85</v>
      </c>
      <c r="M216" s="2">
        <v>44613</v>
      </c>
      <c r="N216" s="3">
        <v>2699.97</v>
      </c>
      <c r="O216" s="4"/>
      <c r="P216" s="5"/>
    </row>
    <row r="217" spans="1:16" ht="29.5" thickBot="1" x14ac:dyDescent="0.4">
      <c r="A217" s="1" t="s">
        <v>410</v>
      </c>
      <c r="B217" s="2">
        <v>45708</v>
      </c>
      <c r="C217" s="1" t="s">
        <v>240</v>
      </c>
      <c r="D217" s="1" t="s">
        <v>241</v>
      </c>
      <c r="E217" s="1" t="s">
        <v>174</v>
      </c>
      <c r="F217" s="1" t="s">
        <v>175</v>
      </c>
      <c r="G217" s="1" t="s">
        <v>29</v>
      </c>
      <c r="H217" s="3">
        <v>3</v>
      </c>
      <c r="I217" s="3">
        <v>199.99</v>
      </c>
      <c r="J217" s="1" t="s">
        <v>71</v>
      </c>
      <c r="K217" s="1" t="s">
        <v>98</v>
      </c>
      <c r="L217" s="1" t="s">
        <v>78</v>
      </c>
      <c r="M217" s="2">
        <v>44823</v>
      </c>
      <c r="N217" s="3">
        <v>599.97</v>
      </c>
      <c r="O217" s="4"/>
      <c r="P217" s="5"/>
    </row>
    <row r="218" spans="1:16" ht="29.5" thickBot="1" x14ac:dyDescent="0.4">
      <c r="A218" s="1" t="s">
        <v>411</v>
      </c>
      <c r="B218" s="2">
        <v>45710</v>
      </c>
      <c r="C218" s="1" t="s">
        <v>103</v>
      </c>
      <c r="D218" s="1" t="s">
        <v>104</v>
      </c>
      <c r="E218" s="1" t="s">
        <v>153</v>
      </c>
      <c r="F218" s="1" t="s">
        <v>154</v>
      </c>
      <c r="G218" s="1" t="s">
        <v>29</v>
      </c>
      <c r="H218" s="3">
        <v>5</v>
      </c>
      <c r="I218" s="3">
        <v>299.99</v>
      </c>
      <c r="J218" s="1" t="s">
        <v>71</v>
      </c>
      <c r="K218" s="1" t="s">
        <v>98</v>
      </c>
      <c r="L218" s="1" t="s">
        <v>85</v>
      </c>
      <c r="M218" s="2">
        <v>45142</v>
      </c>
      <c r="N218" s="3">
        <v>1499.95</v>
      </c>
      <c r="O218" s="4"/>
      <c r="P218" s="5"/>
    </row>
    <row r="219" spans="1:16" ht="29.5" thickBot="1" x14ac:dyDescent="0.4">
      <c r="A219" s="1" t="s">
        <v>412</v>
      </c>
      <c r="B219" s="2">
        <v>45710</v>
      </c>
      <c r="C219" s="1" t="s">
        <v>198</v>
      </c>
      <c r="D219" s="1" t="s">
        <v>199</v>
      </c>
      <c r="E219" s="1" t="s">
        <v>128</v>
      </c>
      <c r="F219" s="1" t="s">
        <v>129</v>
      </c>
      <c r="G219" s="1" t="s">
        <v>28</v>
      </c>
      <c r="H219" s="3">
        <v>1</v>
      </c>
      <c r="I219" s="3">
        <v>699.99</v>
      </c>
      <c r="J219" s="1" t="s">
        <v>84</v>
      </c>
      <c r="K219" s="1" t="s">
        <v>98</v>
      </c>
      <c r="L219" s="1" t="s">
        <v>73</v>
      </c>
      <c r="M219" s="2">
        <v>44934</v>
      </c>
      <c r="N219" s="3">
        <v>699.99</v>
      </c>
      <c r="O219" s="4"/>
      <c r="P219" s="5"/>
    </row>
    <row r="220" spans="1:16" ht="29.5" thickBot="1" x14ac:dyDescent="0.4">
      <c r="A220" s="1" t="s">
        <v>413</v>
      </c>
      <c r="B220" s="2">
        <v>45711</v>
      </c>
      <c r="C220" s="1" t="s">
        <v>294</v>
      </c>
      <c r="D220" s="1" t="s">
        <v>295</v>
      </c>
      <c r="E220" s="1" t="s">
        <v>128</v>
      </c>
      <c r="F220" s="1" t="s">
        <v>129</v>
      </c>
      <c r="G220" s="1" t="s">
        <v>28</v>
      </c>
      <c r="H220" s="3">
        <v>1</v>
      </c>
      <c r="I220" s="3">
        <v>699.99</v>
      </c>
      <c r="J220" s="1" t="s">
        <v>71</v>
      </c>
      <c r="K220" s="1" t="s">
        <v>89</v>
      </c>
      <c r="L220" s="1" t="s">
        <v>78</v>
      </c>
      <c r="M220" s="2">
        <v>44583</v>
      </c>
      <c r="N220" s="3">
        <v>699.99</v>
      </c>
      <c r="O220" s="4"/>
      <c r="P220" s="5"/>
    </row>
    <row r="221" spans="1:16" ht="29.5" thickBot="1" x14ac:dyDescent="0.4">
      <c r="A221" s="1" t="s">
        <v>414</v>
      </c>
      <c r="B221" s="2">
        <v>45711</v>
      </c>
      <c r="C221" s="1" t="s">
        <v>373</v>
      </c>
      <c r="D221" s="1" t="s">
        <v>374</v>
      </c>
      <c r="E221" s="1" t="s">
        <v>93</v>
      </c>
      <c r="F221" s="1" t="s">
        <v>94</v>
      </c>
      <c r="G221" s="1" t="s">
        <v>29</v>
      </c>
      <c r="H221" s="3">
        <v>4</v>
      </c>
      <c r="I221" s="3">
        <v>149.99</v>
      </c>
      <c r="J221" s="1" t="s">
        <v>84</v>
      </c>
      <c r="K221" s="1" t="s">
        <v>89</v>
      </c>
      <c r="L221" s="1" t="s">
        <v>78</v>
      </c>
      <c r="M221" s="2">
        <v>44412</v>
      </c>
      <c r="N221" s="3">
        <v>599.96</v>
      </c>
      <c r="O221" s="4"/>
      <c r="P221" s="5"/>
    </row>
    <row r="222" spans="1:16" ht="29.5" thickBot="1" x14ac:dyDescent="0.4">
      <c r="A222" s="1" t="s">
        <v>415</v>
      </c>
      <c r="B222" s="2">
        <v>45711</v>
      </c>
      <c r="C222" s="1" t="s">
        <v>259</v>
      </c>
      <c r="D222" s="1" t="s">
        <v>260</v>
      </c>
      <c r="E222" s="1" t="s">
        <v>165</v>
      </c>
      <c r="F222" s="1" t="s">
        <v>166</v>
      </c>
      <c r="G222" s="1" t="s">
        <v>28</v>
      </c>
      <c r="H222" s="3">
        <v>5</v>
      </c>
      <c r="I222" s="3">
        <v>89.99</v>
      </c>
      <c r="J222" s="1" t="s">
        <v>84</v>
      </c>
      <c r="K222" s="1" t="s">
        <v>98</v>
      </c>
      <c r="L222" s="1" t="s">
        <v>78</v>
      </c>
      <c r="M222" s="2">
        <v>45140</v>
      </c>
      <c r="N222" s="3">
        <v>449.95</v>
      </c>
      <c r="O222" s="4"/>
      <c r="P222" s="5"/>
    </row>
    <row r="223" spans="1:16" ht="29.5" thickBot="1" x14ac:dyDescent="0.4">
      <c r="A223" s="1" t="s">
        <v>416</v>
      </c>
      <c r="B223" s="2">
        <v>45712</v>
      </c>
      <c r="C223" s="1" t="s">
        <v>186</v>
      </c>
      <c r="D223" s="1" t="s">
        <v>187</v>
      </c>
      <c r="E223" s="1" t="s">
        <v>174</v>
      </c>
      <c r="F223" s="1" t="s">
        <v>175</v>
      </c>
      <c r="G223" s="1" t="s">
        <v>29</v>
      </c>
      <c r="H223" s="3">
        <v>2</v>
      </c>
      <c r="I223" s="3">
        <v>199.99</v>
      </c>
      <c r="J223" s="1" t="s">
        <v>71</v>
      </c>
      <c r="K223" s="1" t="s">
        <v>72</v>
      </c>
      <c r="L223" s="1" t="s">
        <v>78</v>
      </c>
      <c r="M223" s="2">
        <v>44573</v>
      </c>
      <c r="N223" s="3">
        <v>399.98</v>
      </c>
      <c r="O223" s="4"/>
      <c r="P223" s="5"/>
    </row>
    <row r="224" spans="1:16" ht="29.5" thickBot="1" x14ac:dyDescent="0.4">
      <c r="A224" s="1" t="s">
        <v>417</v>
      </c>
      <c r="B224" s="2">
        <v>45715</v>
      </c>
      <c r="C224" s="1" t="s">
        <v>307</v>
      </c>
      <c r="D224" s="1" t="s">
        <v>308</v>
      </c>
      <c r="E224" s="1" t="s">
        <v>82</v>
      </c>
      <c r="F224" s="1" t="s">
        <v>83</v>
      </c>
      <c r="G224" s="1" t="s">
        <v>27</v>
      </c>
      <c r="H224" s="3">
        <v>4</v>
      </c>
      <c r="I224" s="3">
        <v>59.99</v>
      </c>
      <c r="J224" s="1" t="s">
        <v>71</v>
      </c>
      <c r="K224" s="1" t="s">
        <v>98</v>
      </c>
      <c r="L224" s="1" t="s">
        <v>85</v>
      </c>
      <c r="M224" s="2">
        <v>45070</v>
      </c>
      <c r="N224" s="3">
        <v>239.96</v>
      </c>
      <c r="O224" s="4"/>
      <c r="P224" s="5"/>
    </row>
    <row r="225" spans="1:16" ht="29.5" thickBot="1" x14ac:dyDescent="0.4">
      <c r="A225" s="1" t="s">
        <v>418</v>
      </c>
      <c r="B225" s="2">
        <v>45715</v>
      </c>
      <c r="C225" s="1" t="s">
        <v>141</v>
      </c>
      <c r="D225" s="1" t="s">
        <v>142</v>
      </c>
      <c r="E225" s="1" t="s">
        <v>153</v>
      </c>
      <c r="F225" s="1" t="s">
        <v>154</v>
      </c>
      <c r="G225" s="1" t="s">
        <v>29</v>
      </c>
      <c r="H225" s="3">
        <v>2</v>
      </c>
      <c r="I225" s="3">
        <v>299.99</v>
      </c>
      <c r="J225" s="1" t="s">
        <v>84</v>
      </c>
      <c r="K225" s="1" t="s">
        <v>52</v>
      </c>
      <c r="L225" s="1" t="s">
        <v>73</v>
      </c>
      <c r="M225" s="2">
        <v>44576</v>
      </c>
      <c r="N225" s="3">
        <v>599.98</v>
      </c>
      <c r="O225" s="4"/>
      <c r="P225" s="5"/>
    </row>
    <row r="226" spans="1:16" ht="29.5" thickBot="1" x14ac:dyDescent="0.4">
      <c r="A226" s="1" t="s">
        <v>419</v>
      </c>
      <c r="B226" s="2">
        <v>45718</v>
      </c>
      <c r="C226" s="1" t="s">
        <v>103</v>
      </c>
      <c r="D226" s="1" t="s">
        <v>104</v>
      </c>
      <c r="E226" s="1" t="s">
        <v>93</v>
      </c>
      <c r="F226" s="1" t="s">
        <v>94</v>
      </c>
      <c r="G226" s="1" t="s">
        <v>29</v>
      </c>
      <c r="H226" s="3">
        <v>2</v>
      </c>
      <c r="I226" s="3">
        <v>149.99</v>
      </c>
      <c r="J226" s="1" t="s">
        <v>71</v>
      </c>
      <c r="K226" s="1" t="s">
        <v>72</v>
      </c>
      <c r="L226" s="1" t="s">
        <v>73</v>
      </c>
      <c r="M226" s="2">
        <v>45068</v>
      </c>
      <c r="N226" s="3">
        <v>299.98</v>
      </c>
      <c r="O226" s="4"/>
      <c r="P226" s="5"/>
    </row>
    <row r="227" spans="1:16" ht="29.5" thickBot="1" x14ac:dyDescent="0.4">
      <c r="A227" s="1" t="s">
        <v>420</v>
      </c>
      <c r="B227" s="2">
        <v>45720</v>
      </c>
      <c r="C227" s="1" t="s">
        <v>274</v>
      </c>
      <c r="D227" s="1" t="s">
        <v>275</v>
      </c>
      <c r="E227" s="1" t="s">
        <v>128</v>
      </c>
      <c r="F227" s="1" t="s">
        <v>129</v>
      </c>
      <c r="G227" s="1" t="s">
        <v>28</v>
      </c>
      <c r="H227" s="3">
        <v>5</v>
      </c>
      <c r="I227" s="3">
        <v>699.99</v>
      </c>
      <c r="J227" s="1" t="s">
        <v>105</v>
      </c>
      <c r="K227" s="1" t="s">
        <v>111</v>
      </c>
      <c r="L227" s="1" t="s">
        <v>78</v>
      </c>
      <c r="M227" s="2">
        <v>45161</v>
      </c>
      <c r="N227" s="3">
        <v>3499.95</v>
      </c>
      <c r="O227" s="4"/>
      <c r="P227" s="5"/>
    </row>
    <row r="228" spans="1:16" ht="29.5" thickBot="1" x14ac:dyDescent="0.4">
      <c r="A228" s="1" t="s">
        <v>421</v>
      </c>
      <c r="B228" s="2">
        <v>45721</v>
      </c>
      <c r="C228" s="1" t="s">
        <v>123</v>
      </c>
      <c r="D228" s="1" t="s">
        <v>124</v>
      </c>
      <c r="E228" s="1" t="s">
        <v>82</v>
      </c>
      <c r="F228" s="1" t="s">
        <v>83</v>
      </c>
      <c r="G228" s="1" t="s">
        <v>27</v>
      </c>
      <c r="H228" s="3">
        <v>5</v>
      </c>
      <c r="I228" s="3">
        <v>59.99</v>
      </c>
      <c r="J228" s="1" t="s">
        <v>71</v>
      </c>
      <c r="K228" s="1" t="s">
        <v>98</v>
      </c>
      <c r="L228" s="1" t="s">
        <v>78</v>
      </c>
      <c r="M228" s="2">
        <v>45291</v>
      </c>
      <c r="N228" s="3">
        <v>299.95</v>
      </c>
      <c r="O228" s="4"/>
      <c r="P228" s="5"/>
    </row>
    <row r="229" spans="1:16" ht="29.5" thickBot="1" x14ac:dyDescent="0.4">
      <c r="A229" s="1" t="s">
        <v>422</v>
      </c>
      <c r="B229" s="2">
        <v>45723</v>
      </c>
      <c r="C229" s="1" t="s">
        <v>67</v>
      </c>
      <c r="D229" s="1" t="s">
        <v>68</v>
      </c>
      <c r="E229" s="1" t="s">
        <v>165</v>
      </c>
      <c r="F229" s="1" t="s">
        <v>166</v>
      </c>
      <c r="G229" s="1" t="s">
        <v>28</v>
      </c>
      <c r="H229" s="3">
        <v>2</v>
      </c>
      <c r="I229" s="3">
        <v>89.99</v>
      </c>
      <c r="J229" s="1" t="s">
        <v>77</v>
      </c>
      <c r="K229" s="1" t="s">
        <v>98</v>
      </c>
      <c r="L229" s="1" t="s">
        <v>78</v>
      </c>
      <c r="M229" s="2">
        <v>45295</v>
      </c>
      <c r="N229" s="3">
        <v>179.98</v>
      </c>
      <c r="O229" s="4"/>
      <c r="P229" s="5"/>
    </row>
    <row r="230" spans="1:16" ht="29.5" thickBot="1" x14ac:dyDescent="0.4">
      <c r="A230" s="1" t="s">
        <v>423</v>
      </c>
      <c r="B230" s="2">
        <v>45723</v>
      </c>
      <c r="C230" s="1" t="s">
        <v>168</v>
      </c>
      <c r="D230" s="1" t="s">
        <v>169</v>
      </c>
      <c r="E230" s="1" t="s">
        <v>69</v>
      </c>
      <c r="F230" s="1" t="s">
        <v>70</v>
      </c>
      <c r="G230" s="1" t="s">
        <v>28</v>
      </c>
      <c r="H230" s="3">
        <v>5</v>
      </c>
      <c r="I230" s="3">
        <v>249.99</v>
      </c>
      <c r="J230" s="1" t="s">
        <v>71</v>
      </c>
      <c r="K230" s="1" t="s">
        <v>111</v>
      </c>
      <c r="L230" s="1" t="s">
        <v>85</v>
      </c>
      <c r="M230" s="2">
        <v>44540</v>
      </c>
      <c r="N230" s="3">
        <v>1249.95</v>
      </c>
      <c r="O230" s="4"/>
      <c r="P230" s="5"/>
    </row>
    <row r="231" spans="1:16" ht="29.5" thickBot="1" x14ac:dyDescent="0.4">
      <c r="A231" s="1" t="s">
        <v>424</v>
      </c>
      <c r="B231" s="2">
        <v>45724</v>
      </c>
      <c r="C231" s="1" t="s">
        <v>274</v>
      </c>
      <c r="D231" s="1" t="s">
        <v>275</v>
      </c>
      <c r="E231" s="1" t="s">
        <v>93</v>
      </c>
      <c r="F231" s="1" t="s">
        <v>94</v>
      </c>
      <c r="G231" s="1" t="s">
        <v>29</v>
      </c>
      <c r="H231" s="3">
        <v>2</v>
      </c>
      <c r="I231" s="3">
        <v>149.99</v>
      </c>
      <c r="J231" s="1" t="s">
        <v>84</v>
      </c>
      <c r="K231" s="1" t="s">
        <v>72</v>
      </c>
      <c r="L231" s="1" t="s">
        <v>78</v>
      </c>
      <c r="M231" s="2">
        <v>44632</v>
      </c>
      <c r="N231" s="3">
        <v>299.98</v>
      </c>
      <c r="O231" s="4"/>
      <c r="P231" s="5"/>
    </row>
    <row r="232" spans="1:16" ht="29.5" thickBot="1" x14ac:dyDescent="0.4">
      <c r="A232" s="1" t="s">
        <v>425</v>
      </c>
      <c r="B232" s="2">
        <v>45724</v>
      </c>
      <c r="C232" s="1" t="s">
        <v>192</v>
      </c>
      <c r="D232" s="1" t="s">
        <v>193</v>
      </c>
      <c r="E232" s="1" t="s">
        <v>109</v>
      </c>
      <c r="F232" s="1" t="s">
        <v>110</v>
      </c>
      <c r="G232" s="1" t="s">
        <v>28</v>
      </c>
      <c r="H232" s="3">
        <v>5</v>
      </c>
      <c r="I232" s="3">
        <v>899.99</v>
      </c>
      <c r="J232" s="1" t="s">
        <v>84</v>
      </c>
      <c r="K232" s="1" t="s">
        <v>111</v>
      </c>
      <c r="L232" s="1" t="s">
        <v>78</v>
      </c>
      <c r="M232" s="2">
        <v>45389</v>
      </c>
      <c r="N232" s="3">
        <v>4499.95</v>
      </c>
      <c r="O232" s="4"/>
      <c r="P232" s="5"/>
    </row>
    <row r="233" spans="1:16" ht="29.5" thickBot="1" x14ac:dyDescent="0.4">
      <c r="A233" s="1" t="s">
        <v>426</v>
      </c>
      <c r="B233" s="2">
        <v>45724</v>
      </c>
      <c r="C233" s="1" t="s">
        <v>103</v>
      </c>
      <c r="D233" s="1" t="s">
        <v>104</v>
      </c>
      <c r="E233" s="1" t="s">
        <v>93</v>
      </c>
      <c r="F233" s="1" t="s">
        <v>94</v>
      </c>
      <c r="G233" s="1" t="s">
        <v>29</v>
      </c>
      <c r="H233" s="3">
        <v>4</v>
      </c>
      <c r="I233" s="3">
        <v>149.99</v>
      </c>
      <c r="J233" s="1" t="s">
        <v>71</v>
      </c>
      <c r="K233" s="1" t="s">
        <v>72</v>
      </c>
      <c r="L233" s="1" t="s">
        <v>85</v>
      </c>
      <c r="M233" s="2">
        <v>45263</v>
      </c>
      <c r="N233" s="3">
        <v>599.96</v>
      </c>
      <c r="O233" s="4"/>
      <c r="P233" s="5"/>
    </row>
    <row r="234" spans="1:16" ht="29.5" thickBot="1" x14ac:dyDescent="0.4">
      <c r="A234" s="1" t="s">
        <v>427</v>
      </c>
      <c r="B234" s="2">
        <v>45726</v>
      </c>
      <c r="C234" s="1" t="s">
        <v>192</v>
      </c>
      <c r="D234" s="1" t="s">
        <v>193</v>
      </c>
      <c r="E234" s="1" t="s">
        <v>69</v>
      </c>
      <c r="F234" s="1" t="s">
        <v>70</v>
      </c>
      <c r="G234" s="1" t="s">
        <v>28</v>
      </c>
      <c r="H234" s="3">
        <v>1</v>
      </c>
      <c r="I234" s="3">
        <v>249.99</v>
      </c>
      <c r="J234" s="1" t="s">
        <v>71</v>
      </c>
      <c r="K234" s="1" t="s">
        <v>89</v>
      </c>
      <c r="L234" s="1" t="s">
        <v>85</v>
      </c>
      <c r="M234" s="2">
        <v>45117</v>
      </c>
      <c r="N234" s="3">
        <v>249.99</v>
      </c>
      <c r="O234" s="4"/>
      <c r="P234" s="5"/>
    </row>
    <row r="235" spans="1:16" ht="29.5" thickBot="1" x14ac:dyDescent="0.4">
      <c r="A235" s="1" t="s">
        <v>428</v>
      </c>
      <c r="B235" s="2">
        <v>45734</v>
      </c>
      <c r="C235" s="1" t="s">
        <v>240</v>
      </c>
      <c r="D235" s="1" t="s">
        <v>241</v>
      </c>
      <c r="E235" s="1" t="s">
        <v>82</v>
      </c>
      <c r="F235" s="1" t="s">
        <v>83</v>
      </c>
      <c r="G235" s="1" t="s">
        <v>27</v>
      </c>
      <c r="H235" s="3">
        <v>2</v>
      </c>
      <c r="I235" s="3">
        <v>59.99</v>
      </c>
      <c r="J235" s="1" t="s">
        <v>77</v>
      </c>
      <c r="K235" s="1" t="s">
        <v>98</v>
      </c>
      <c r="L235" s="1" t="s">
        <v>73</v>
      </c>
      <c r="M235" s="2">
        <v>45193</v>
      </c>
      <c r="N235" s="3">
        <v>119.98</v>
      </c>
      <c r="O235" s="4"/>
      <c r="P235" s="5"/>
    </row>
    <row r="236" spans="1:16" ht="29.5" thickBot="1" x14ac:dyDescent="0.4">
      <c r="A236" s="1" t="s">
        <v>429</v>
      </c>
      <c r="B236" s="2">
        <v>45737</v>
      </c>
      <c r="C236" s="1" t="s">
        <v>180</v>
      </c>
      <c r="D236" s="1" t="s">
        <v>181</v>
      </c>
      <c r="E236" s="1" t="s">
        <v>93</v>
      </c>
      <c r="F236" s="1" t="s">
        <v>94</v>
      </c>
      <c r="G236" s="1" t="s">
        <v>29</v>
      </c>
      <c r="H236" s="3">
        <v>2</v>
      </c>
      <c r="I236" s="3">
        <v>149.99</v>
      </c>
      <c r="J236" s="1" t="s">
        <v>71</v>
      </c>
      <c r="K236" s="1" t="s">
        <v>98</v>
      </c>
      <c r="L236" s="1" t="s">
        <v>78</v>
      </c>
      <c r="M236" s="2">
        <v>45233</v>
      </c>
      <c r="N236" s="3">
        <v>299.98</v>
      </c>
      <c r="O236" s="4"/>
      <c r="P236" s="5"/>
    </row>
    <row r="237" spans="1:16" ht="29.5" thickBot="1" x14ac:dyDescent="0.4">
      <c r="A237" s="1" t="s">
        <v>430</v>
      </c>
      <c r="B237" s="2">
        <v>45737</v>
      </c>
      <c r="C237" s="1" t="s">
        <v>198</v>
      </c>
      <c r="D237" s="1" t="s">
        <v>199</v>
      </c>
      <c r="E237" s="1" t="s">
        <v>109</v>
      </c>
      <c r="F237" s="1" t="s">
        <v>110</v>
      </c>
      <c r="G237" s="1" t="s">
        <v>28</v>
      </c>
      <c r="H237" s="3">
        <v>3</v>
      </c>
      <c r="I237" s="3">
        <v>899.99</v>
      </c>
      <c r="J237" s="1" t="s">
        <v>105</v>
      </c>
      <c r="K237" s="1" t="s">
        <v>89</v>
      </c>
      <c r="L237" s="1" t="s">
        <v>78</v>
      </c>
      <c r="M237" s="2">
        <v>44876</v>
      </c>
      <c r="N237" s="3">
        <v>2699.97</v>
      </c>
      <c r="O237" s="4"/>
      <c r="P237" s="5"/>
    </row>
    <row r="238" spans="1:16" ht="29.5" thickBot="1" x14ac:dyDescent="0.4">
      <c r="A238" s="1" t="s">
        <v>431</v>
      </c>
      <c r="B238" s="2">
        <v>45737</v>
      </c>
      <c r="C238" s="1" t="s">
        <v>96</v>
      </c>
      <c r="D238" s="1" t="s">
        <v>97</v>
      </c>
      <c r="E238" s="1" t="s">
        <v>109</v>
      </c>
      <c r="F238" s="1" t="s">
        <v>110</v>
      </c>
      <c r="G238" s="1" t="s">
        <v>28</v>
      </c>
      <c r="H238" s="3">
        <v>3</v>
      </c>
      <c r="I238" s="3">
        <v>899.99</v>
      </c>
      <c r="J238" s="1" t="s">
        <v>84</v>
      </c>
      <c r="K238" s="1" t="s">
        <v>89</v>
      </c>
      <c r="L238" s="1" t="s">
        <v>73</v>
      </c>
      <c r="M238" s="2">
        <v>44975</v>
      </c>
      <c r="N238" s="3">
        <v>2699.97</v>
      </c>
      <c r="O238" s="4"/>
      <c r="P238" s="5"/>
    </row>
    <row r="239" spans="1:16" ht="29.5" thickBot="1" x14ac:dyDescent="0.4">
      <c r="A239" s="1" t="s">
        <v>432</v>
      </c>
      <c r="B239" s="2">
        <v>45739</v>
      </c>
      <c r="C239" s="1" t="s">
        <v>67</v>
      </c>
      <c r="D239" s="1" t="s">
        <v>68</v>
      </c>
      <c r="E239" s="1" t="s">
        <v>153</v>
      </c>
      <c r="F239" s="1" t="s">
        <v>154</v>
      </c>
      <c r="G239" s="1" t="s">
        <v>29</v>
      </c>
      <c r="H239" s="3">
        <v>3</v>
      </c>
      <c r="I239" s="3">
        <v>299.99</v>
      </c>
      <c r="J239" s="1" t="s">
        <v>77</v>
      </c>
      <c r="K239" s="1" t="s">
        <v>98</v>
      </c>
      <c r="L239" s="1" t="s">
        <v>78</v>
      </c>
      <c r="M239" s="2">
        <v>45234</v>
      </c>
      <c r="N239" s="3">
        <v>899.97</v>
      </c>
      <c r="O239" s="4"/>
      <c r="P239" s="5"/>
    </row>
    <row r="240" spans="1:16" ht="29.5" thickBot="1" x14ac:dyDescent="0.4">
      <c r="A240" s="1" t="s">
        <v>433</v>
      </c>
      <c r="B240" s="2">
        <v>45740</v>
      </c>
      <c r="C240" s="1" t="s">
        <v>434</v>
      </c>
      <c r="D240" s="1" t="s">
        <v>435</v>
      </c>
      <c r="E240" s="1" t="s">
        <v>93</v>
      </c>
      <c r="F240" s="1" t="s">
        <v>94</v>
      </c>
      <c r="G240" s="1" t="s">
        <v>29</v>
      </c>
      <c r="H240" s="3">
        <v>4</v>
      </c>
      <c r="I240" s="3">
        <v>149.99</v>
      </c>
      <c r="J240" s="1" t="s">
        <v>84</v>
      </c>
      <c r="K240" s="1" t="s">
        <v>98</v>
      </c>
      <c r="L240" s="1" t="s">
        <v>85</v>
      </c>
      <c r="M240" s="2">
        <v>44560</v>
      </c>
      <c r="N240" s="3">
        <v>599.96</v>
      </c>
      <c r="O240" s="4"/>
      <c r="P240" s="5"/>
    </row>
    <row r="241" spans="1:16" ht="29.5" thickBot="1" x14ac:dyDescent="0.4">
      <c r="A241" s="1" t="s">
        <v>436</v>
      </c>
      <c r="B241" s="2">
        <v>45743</v>
      </c>
      <c r="C241" s="1" t="s">
        <v>150</v>
      </c>
      <c r="D241" s="1" t="s">
        <v>151</v>
      </c>
      <c r="E241" s="1" t="s">
        <v>162</v>
      </c>
      <c r="F241" s="1" t="s">
        <v>163</v>
      </c>
      <c r="G241" s="1" t="s">
        <v>27</v>
      </c>
      <c r="H241" s="3">
        <v>4</v>
      </c>
      <c r="I241" s="3">
        <v>79.989999999999995</v>
      </c>
      <c r="J241" s="1" t="s">
        <v>77</v>
      </c>
      <c r="K241" s="1" t="s">
        <v>72</v>
      </c>
      <c r="L241" s="1" t="s">
        <v>73</v>
      </c>
      <c r="M241" s="2">
        <v>45288</v>
      </c>
      <c r="N241" s="3">
        <v>319.95999999999998</v>
      </c>
      <c r="O241" s="4"/>
      <c r="P241" s="5"/>
    </row>
    <row r="242" spans="1:16" ht="29.5" thickBot="1" x14ac:dyDescent="0.4">
      <c r="A242" s="1" t="s">
        <v>437</v>
      </c>
      <c r="B242" s="2">
        <v>45745</v>
      </c>
      <c r="C242" s="1" t="s">
        <v>233</v>
      </c>
      <c r="D242" s="1" t="s">
        <v>234</v>
      </c>
      <c r="E242" s="1" t="s">
        <v>165</v>
      </c>
      <c r="F242" s="1" t="s">
        <v>166</v>
      </c>
      <c r="G242" s="1" t="s">
        <v>28</v>
      </c>
      <c r="H242" s="3">
        <v>5</v>
      </c>
      <c r="I242" s="3">
        <v>89.99</v>
      </c>
      <c r="J242" s="1" t="s">
        <v>84</v>
      </c>
      <c r="K242" s="1" t="s">
        <v>52</v>
      </c>
      <c r="L242" s="1" t="s">
        <v>73</v>
      </c>
      <c r="M242" s="2">
        <v>44704</v>
      </c>
      <c r="N242" s="3">
        <v>449.95</v>
      </c>
      <c r="O242" s="4"/>
      <c r="P242" s="5"/>
    </row>
    <row r="243" spans="1:16" ht="29.5" thickBot="1" x14ac:dyDescent="0.4">
      <c r="A243" s="1" t="s">
        <v>438</v>
      </c>
      <c r="B243" s="2">
        <v>45746</v>
      </c>
      <c r="C243" s="1" t="s">
        <v>141</v>
      </c>
      <c r="D243" s="1" t="s">
        <v>142</v>
      </c>
      <c r="E243" s="1" t="s">
        <v>93</v>
      </c>
      <c r="F243" s="1" t="s">
        <v>94</v>
      </c>
      <c r="G243" s="1" t="s">
        <v>29</v>
      </c>
      <c r="H243" s="3">
        <v>3</v>
      </c>
      <c r="I243" s="3">
        <v>149.99</v>
      </c>
      <c r="J243" s="1" t="s">
        <v>84</v>
      </c>
      <c r="K243" s="1" t="s">
        <v>72</v>
      </c>
      <c r="L243" s="1" t="s">
        <v>85</v>
      </c>
      <c r="M243" s="2">
        <v>45171</v>
      </c>
      <c r="N243" s="3">
        <v>449.97</v>
      </c>
      <c r="O243" s="4"/>
      <c r="P243" s="5"/>
    </row>
    <row r="244" spans="1:16" ht="29.5" thickBot="1" x14ac:dyDescent="0.4">
      <c r="A244" s="1" t="s">
        <v>439</v>
      </c>
      <c r="B244" s="2">
        <v>45746</v>
      </c>
      <c r="C244" s="1" t="s">
        <v>113</v>
      </c>
      <c r="D244" s="1" t="s">
        <v>114</v>
      </c>
      <c r="E244" s="1" t="s">
        <v>165</v>
      </c>
      <c r="F244" s="1" t="s">
        <v>166</v>
      </c>
      <c r="G244" s="1" t="s">
        <v>28</v>
      </c>
      <c r="H244" s="3">
        <v>2</v>
      </c>
      <c r="I244" s="3">
        <v>89.99</v>
      </c>
      <c r="J244" s="1" t="s">
        <v>105</v>
      </c>
      <c r="K244" s="1" t="s">
        <v>98</v>
      </c>
      <c r="L244" s="1" t="s">
        <v>78</v>
      </c>
      <c r="M244" s="2">
        <v>44522</v>
      </c>
      <c r="N244" s="3">
        <v>179.98</v>
      </c>
      <c r="O244" s="4"/>
      <c r="P244" s="5"/>
    </row>
    <row r="245" spans="1:16" ht="29.5" thickBot="1" x14ac:dyDescent="0.4">
      <c r="A245" s="1" t="s">
        <v>440</v>
      </c>
      <c r="B245" s="2">
        <v>45748</v>
      </c>
      <c r="C245" s="1" t="s">
        <v>150</v>
      </c>
      <c r="D245" s="1" t="s">
        <v>151</v>
      </c>
      <c r="E245" s="1" t="s">
        <v>128</v>
      </c>
      <c r="F245" s="1" t="s">
        <v>129</v>
      </c>
      <c r="G245" s="1" t="s">
        <v>28</v>
      </c>
      <c r="H245" s="3">
        <v>2</v>
      </c>
      <c r="I245" s="3">
        <v>699.99</v>
      </c>
      <c r="J245" s="1" t="s">
        <v>84</v>
      </c>
      <c r="K245" s="1" t="s">
        <v>89</v>
      </c>
      <c r="L245" s="1" t="s">
        <v>85</v>
      </c>
      <c r="M245" s="2">
        <v>44618</v>
      </c>
      <c r="N245" s="3">
        <v>1399.98</v>
      </c>
      <c r="O245" s="4"/>
      <c r="P245" s="5"/>
    </row>
    <row r="246" spans="1:16" ht="29.5" thickBot="1" x14ac:dyDescent="0.4">
      <c r="A246" s="1" t="s">
        <v>441</v>
      </c>
      <c r="B246" s="2">
        <v>45749</v>
      </c>
      <c r="C246" s="1" t="s">
        <v>171</v>
      </c>
      <c r="D246" s="1" t="s">
        <v>172</v>
      </c>
      <c r="E246" s="1" t="s">
        <v>109</v>
      </c>
      <c r="F246" s="1" t="s">
        <v>110</v>
      </c>
      <c r="G246" s="1" t="s">
        <v>28</v>
      </c>
      <c r="H246" s="3">
        <v>3</v>
      </c>
      <c r="I246" s="3">
        <v>899.99</v>
      </c>
      <c r="J246" s="1" t="s">
        <v>71</v>
      </c>
      <c r="K246" s="1" t="s">
        <v>72</v>
      </c>
      <c r="L246" s="1" t="s">
        <v>85</v>
      </c>
      <c r="M246" s="2">
        <v>44953</v>
      </c>
      <c r="N246" s="3">
        <v>2699.97</v>
      </c>
      <c r="O246" s="4"/>
      <c r="P246" s="5"/>
    </row>
    <row r="247" spans="1:16" ht="29.5" thickBot="1" x14ac:dyDescent="0.4">
      <c r="A247" s="1" t="s">
        <v>442</v>
      </c>
      <c r="B247" s="2">
        <v>45755</v>
      </c>
      <c r="C247" s="1" t="s">
        <v>141</v>
      </c>
      <c r="D247" s="1" t="s">
        <v>142</v>
      </c>
      <c r="E247" s="1" t="s">
        <v>162</v>
      </c>
      <c r="F247" s="1" t="s">
        <v>163</v>
      </c>
      <c r="G247" s="1" t="s">
        <v>27</v>
      </c>
      <c r="H247" s="3">
        <v>3</v>
      </c>
      <c r="I247" s="3">
        <v>79.989999999999995</v>
      </c>
      <c r="J247" s="1" t="s">
        <v>77</v>
      </c>
      <c r="K247" s="1" t="s">
        <v>89</v>
      </c>
      <c r="L247" s="1" t="s">
        <v>73</v>
      </c>
      <c r="M247" s="2">
        <v>44511</v>
      </c>
      <c r="N247" s="3">
        <v>239.97</v>
      </c>
      <c r="O247" s="4"/>
      <c r="P247" s="5"/>
    </row>
    <row r="248" spans="1:16" ht="29.5" thickBot="1" x14ac:dyDescent="0.4">
      <c r="A248" s="1" t="s">
        <v>443</v>
      </c>
      <c r="B248" s="2">
        <v>45756</v>
      </c>
      <c r="C248" s="1" t="s">
        <v>107</v>
      </c>
      <c r="D248" s="1" t="s">
        <v>108</v>
      </c>
      <c r="E248" s="1" t="s">
        <v>165</v>
      </c>
      <c r="F248" s="1" t="s">
        <v>166</v>
      </c>
      <c r="G248" s="1" t="s">
        <v>28</v>
      </c>
      <c r="H248" s="3">
        <v>1</v>
      </c>
      <c r="I248" s="3">
        <v>89.99</v>
      </c>
      <c r="J248" s="1" t="s">
        <v>105</v>
      </c>
      <c r="K248" s="1" t="s">
        <v>111</v>
      </c>
      <c r="L248" s="1" t="s">
        <v>73</v>
      </c>
      <c r="M248" s="2">
        <v>45346</v>
      </c>
      <c r="N248" s="3">
        <v>89.99</v>
      </c>
      <c r="O248" s="4"/>
      <c r="P248" s="5"/>
    </row>
    <row r="249" spans="1:16" ht="29.5" thickBot="1" x14ac:dyDescent="0.4">
      <c r="A249" s="1" t="s">
        <v>444</v>
      </c>
      <c r="B249" s="2">
        <v>45758</v>
      </c>
      <c r="C249" s="1" t="s">
        <v>341</v>
      </c>
      <c r="D249" s="1" t="s">
        <v>342</v>
      </c>
      <c r="E249" s="1" t="s">
        <v>128</v>
      </c>
      <c r="F249" s="1" t="s">
        <v>129</v>
      </c>
      <c r="G249" s="1" t="s">
        <v>28</v>
      </c>
      <c r="H249" s="3">
        <v>3</v>
      </c>
      <c r="I249" s="3">
        <v>699.99</v>
      </c>
      <c r="J249" s="1" t="s">
        <v>84</v>
      </c>
      <c r="K249" s="1" t="s">
        <v>89</v>
      </c>
      <c r="L249" s="1" t="s">
        <v>73</v>
      </c>
      <c r="M249" s="2">
        <v>44909</v>
      </c>
      <c r="N249" s="3">
        <v>2099.9699999999998</v>
      </c>
      <c r="O249" s="4"/>
      <c r="P249" s="5"/>
    </row>
    <row r="250" spans="1:16" ht="29.5" thickBot="1" x14ac:dyDescent="0.4">
      <c r="A250" s="1" t="s">
        <v>445</v>
      </c>
      <c r="B250" s="2">
        <v>45758</v>
      </c>
      <c r="C250" s="1" t="s">
        <v>274</v>
      </c>
      <c r="D250" s="1" t="s">
        <v>275</v>
      </c>
      <c r="E250" s="1" t="s">
        <v>165</v>
      </c>
      <c r="F250" s="1" t="s">
        <v>166</v>
      </c>
      <c r="G250" s="1" t="s">
        <v>28</v>
      </c>
      <c r="H250" s="3">
        <v>2</v>
      </c>
      <c r="I250" s="3">
        <v>89.99</v>
      </c>
      <c r="J250" s="1" t="s">
        <v>105</v>
      </c>
      <c r="K250" s="1" t="s">
        <v>111</v>
      </c>
      <c r="L250" s="1" t="s">
        <v>73</v>
      </c>
      <c r="M250" s="2">
        <v>45088</v>
      </c>
      <c r="N250" s="3">
        <v>179.98</v>
      </c>
      <c r="O250" s="4"/>
      <c r="P250" s="5"/>
    </row>
    <row r="251" spans="1:16" ht="29.5" thickBot="1" x14ac:dyDescent="0.4">
      <c r="A251" s="1" t="s">
        <v>446</v>
      </c>
      <c r="B251" s="2">
        <v>45758</v>
      </c>
      <c r="C251" s="1" t="s">
        <v>186</v>
      </c>
      <c r="D251" s="1" t="s">
        <v>187</v>
      </c>
      <c r="E251" s="1" t="s">
        <v>165</v>
      </c>
      <c r="F251" s="1" t="s">
        <v>166</v>
      </c>
      <c r="G251" s="1" t="s">
        <v>28</v>
      </c>
      <c r="H251" s="3">
        <v>3</v>
      </c>
      <c r="I251" s="3">
        <v>89.99</v>
      </c>
      <c r="J251" s="1" t="s">
        <v>105</v>
      </c>
      <c r="K251" s="1" t="s">
        <v>89</v>
      </c>
      <c r="L251" s="1" t="s">
        <v>78</v>
      </c>
      <c r="M251" s="2">
        <v>44878</v>
      </c>
      <c r="N251" s="3">
        <v>269.97000000000003</v>
      </c>
      <c r="O251" s="4"/>
      <c r="P251"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BE01-109E-43A3-8D60-3CBEC9D91D91}">
  <dimension ref="A1:AM251"/>
  <sheetViews>
    <sheetView topLeftCell="D241" workbookViewId="0">
      <selection activeCell="D1" sqref="D1:N251"/>
    </sheetView>
  </sheetViews>
  <sheetFormatPr defaultRowHeight="14.5" x14ac:dyDescent="0.35"/>
  <cols>
    <col min="2" max="2" width="10.81640625" customWidth="1"/>
    <col min="13" max="13" width="10.7265625" customWidth="1"/>
    <col min="14" max="14" width="12.81640625" customWidth="1"/>
    <col min="15" max="15" width="17.7265625" customWidth="1"/>
    <col min="16" max="16" width="13.7265625" customWidth="1"/>
    <col min="19" max="19" width="14.81640625" customWidth="1"/>
    <col min="22" max="22" width="12.7265625" customWidth="1"/>
    <col min="23" max="23" width="13.7265625" customWidth="1"/>
    <col min="27" max="27" width="18.1796875" customWidth="1"/>
    <col min="28" max="28" width="14.54296875" customWidth="1"/>
    <col min="29" max="29" width="14.1796875" customWidth="1"/>
    <col min="30" max="30" width="25.26953125" customWidth="1"/>
  </cols>
  <sheetData>
    <row r="1" spans="1:39" ht="49" x14ac:dyDescent="0.9">
      <c r="A1" s="9" t="s">
        <v>53</v>
      </c>
      <c r="B1" s="9" t="s">
        <v>54</v>
      </c>
      <c r="C1" s="9" t="s">
        <v>55</v>
      </c>
      <c r="D1" s="9" t="s">
        <v>56</v>
      </c>
      <c r="E1" s="9" t="s">
        <v>57</v>
      </c>
      <c r="F1" s="9" t="s">
        <v>58</v>
      </c>
      <c r="G1" s="9" t="s">
        <v>59</v>
      </c>
      <c r="H1" s="9" t="s">
        <v>24</v>
      </c>
      <c r="I1" s="9" t="s">
        <v>60</v>
      </c>
      <c r="J1" s="9" t="s">
        <v>61</v>
      </c>
      <c r="K1" s="9" t="s">
        <v>62</v>
      </c>
      <c r="L1" s="9" t="s">
        <v>63</v>
      </c>
      <c r="M1" s="9" t="s">
        <v>64</v>
      </c>
      <c r="N1" s="24" t="s">
        <v>65</v>
      </c>
      <c r="O1" s="10" t="s">
        <v>447</v>
      </c>
      <c r="P1" s="10" t="s">
        <v>448</v>
      </c>
      <c r="Q1" s="10" t="s">
        <v>449</v>
      </c>
      <c r="R1" s="10" t="s">
        <v>450</v>
      </c>
      <c r="S1" s="10" t="s">
        <v>451</v>
      </c>
      <c r="X1" s="20" t="s">
        <v>452</v>
      </c>
      <c r="AD1" s="20" t="s">
        <v>453</v>
      </c>
      <c r="AH1" s="21"/>
      <c r="AM1" s="13"/>
    </row>
    <row r="2" spans="1:39" ht="29" x14ac:dyDescent="0.35">
      <c r="A2" s="1" t="s">
        <v>66</v>
      </c>
      <c r="B2" s="2">
        <v>45393</v>
      </c>
      <c r="C2" s="1" t="s">
        <v>67</v>
      </c>
      <c r="D2" s="1" t="s">
        <v>68</v>
      </c>
      <c r="E2" s="1" t="s">
        <v>69</v>
      </c>
      <c r="F2" s="1" t="s">
        <v>70</v>
      </c>
      <c r="G2" s="1" t="s">
        <v>28</v>
      </c>
      <c r="H2" s="3">
        <v>3</v>
      </c>
      <c r="I2" s="26">
        <v>249.99</v>
      </c>
      <c r="J2" s="1" t="s">
        <v>71</v>
      </c>
      <c r="K2" s="1" t="s">
        <v>72</v>
      </c>
      <c r="L2" s="1" t="s">
        <v>73</v>
      </c>
      <c r="M2" s="2">
        <v>44425</v>
      </c>
      <c r="N2" s="25">
        <f>I2*H2</f>
        <v>749.97</v>
      </c>
      <c r="O2" s="4">
        <f ca="1">NOW()</f>
        <v>46324.650590393518</v>
      </c>
      <c r="P2" s="5">
        <f ca="1">TODAY()</f>
        <v>46324</v>
      </c>
      <c r="Q2" t="str">
        <f>TEXT(EOMONTH(M2,1),"mmmm")</f>
        <v>September</v>
      </c>
      <c r="R2">
        <f>DATEDIF(M2,B2,"M")</f>
        <v>31</v>
      </c>
      <c r="S2" t="str" cm="1">
        <f t="array" ref="S2:S7">_xlfn._xlws.FILTER(D2:D251,N2:N251=MAX(N2:N251))</f>
        <v>Paul Baker</v>
      </c>
      <c r="T2" cm="1">
        <f t="array" ref="T2:T251">COUNTIF(F2:F251,F2:F251)</f>
        <v>26</v>
      </c>
      <c r="U2" cm="1">
        <f t="array" ref="U2">_xlfn.MODE.MULT(_xlfn.ANCHORARRAY(T2))</f>
        <v>26</v>
      </c>
      <c r="V2">
        <f>MATCH(U2,T2:T251,0)</f>
        <v>1</v>
      </c>
      <c r="W2" t="str" cm="1">
        <f t="array" ref="W2">INDEX(F2:F251,V2)</f>
        <v>Monitor</v>
      </c>
      <c r="X2" t="str">
        <f>LEFT(D2,1)&amp;MID(D2,FIND(" ",D2)+1,1)</f>
        <v>PB</v>
      </c>
      <c r="AA2" t="str" cm="1">
        <f t="array" ref="AA2:AA51">_xlfn.UNIQUE(D2:D251)</f>
        <v>Paul Baker</v>
      </c>
      <c r="AB2">
        <f>SUMIFS($N$2:$N$251,$D$2:$D$251,AA2)</f>
        <v>8309.739999999998</v>
      </c>
      <c r="AC2" t="str">
        <f>IF(AB2&gt;5000,"high value","Regular")</f>
        <v>high value</v>
      </c>
      <c r="AD2">
        <f>COUNTIF(AC2:AC51,AC2)</f>
        <v>20</v>
      </c>
      <c r="AF2" t="str">
        <f>IF(I2=N2,I2,"no match")</f>
        <v>no match</v>
      </c>
    </row>
    <row r="3" spans="1:39" ht="29" x14ac:dyDescent="0.35">
      <c r="A3" s="1" t="s">
        <v>74</v>
      </c>
      <c r="B3" s="2">
        <v>45396</v>
      </c>
      <c r="C3" s="1" t="s">
        <v>75</v>
      </c>
      <c r="D3" s="1" t="s">
        <v>76</v>
      </c>
      <c r="E3" s="1" t="s">
        <v>69</v>
      </c>
      <c r="F3" s="1" t="s">
        <v>70</v>
      </c>
      <c r="G3" s="1" t="s">
        <v>28</v>
      </c>
      <c r="H3" s="3">
        <v>3</v>
      </c>
      <c r="I3" s="26">
        <v>249.99</v>
      </c>
      <c r="J3" s="1" t="s">
        <v>77</v>
      </c>
      <c r="K3" s="1" t="s">
        <v>72</v>
      </c>
      <c r="L3" s="1" t="s">
        <v>78</v>
      </c>
      <c r="M3" s="2">
        <v>44575</v>
      </c>
      <c r="N3" s="25">
        <f t="shared" ref="N3:N66" si="0">I3*H3</f>
        <v>749.97</v>
      </c>
      <c r="O3" s="4">
        <f t="shared" ref="O3:O66" ca="1" si="1">NOW()</f>
        <v>46324.650590393518</v>
      </c>
      <c r="P3" s="5">
        <f t="shared" ref="P3:P66" ca="1" si="2">TODAY()</f>
        <v>46324</v>
      </c>
      <c r="Q3" t="str">
        <f t="shared" ref="Q3:Q66" si="3">TEXT(EOMONTH(M3,1),"mmmm")</f>
        <v>February</v>
      </c>
      <c r="R3">
        <f t="shared" ref="R3:R66" si="4">DATEDIF(M3,B3,"M")</f>
        <v>27</v>
      </c>
      <c r="S3" t="str">
        <v>Edward Mitchell</v>
      </c>
      <c r="T3">
        <v>26</v>
      </c>
      <c r="X3" t="str">
        <f t="shared" ref="X3:X66" si="5">LEFT(D3,1)&amp;MID(D3,FIND(" ",D3)+1,1)</f>
        <v>JJ</v>
      </c>
      <c r="AA3" t="str">
        <v>Joseph Jackson</v>
      </c>
      <c r="AB3">
        <f t="shared" ref="AB3:AB51" si="6">SUMIFS($N$2:$N$251,$D$2:$D$251,AA3)</f>
        <v>6949.84</v>
      </c>
      <c r="AC3" t="str">
        <f t="shared" ref="AC3:AC51" si="7">IF(AB3&gt;5000,"high value","Regular")</f>
        <v>high value</v>
      </c>
      <c r="AF3" t="str">
        <f t="shared" ref="AF3:AF66" si="8">IF(I3=N3,I3,"no match")</f>
        <v>no match</v>
      </c>
    </row>
    <row r="4" spans="1:39" ht="29" x14ac:dyDescent="0.35">
      <c r="A4" s="1" t="s">
        <v>79</v>
      </c>
      <c r="B4" s="2">
        <v>45399</v>
      </c>
      <c r="C4" s="1" t="s">
        <v>80</v>
      </c>
      <c r="D4" s="1" t="s">
        <v>81</v>
      </c>
      <c r="E4" s="1" t="s">
        <v>82</v>
      </c>
      <c r="F4" s="1" t="s">
        <v>83</v>
      </c>
      <c r="G4" s="1" t="s">
        <v>27</v>
      </c>
      <c r="H4" s="3">
        <v>3</v>
      </c>
      <c r="I4" s="26">
        <v>59.99</v>
      </c>
      <c r="J4" s="1" t="s">
        <v>84</v>
      </c>
      <c r="K4" s="1" t="s">
        <v>52</v>
      </c>
      <c r="L4" s="1" t="s">
        <v>85</v>
      </c>
      <c r="M4" s="2">
        <v>45262</v>
      </c>
      <c r="N4" s="25">
        <f t="shared" si="0"/>
        <v>179.97</v>
      </c>
      <c r="O4" s="4">
        <f t="shared" ca="1" si="1"/>
        <v>46324.650590393518</v>
      </c>
      <c r="P4" s="5">
        <f t="shared" ca="1" si="2"/>
        <v>46324</v>
      </c>
      <c r="Q4" t="str">
        <f t="shared" si="3"/>
        <v>January</v>
      </c>
      <c r="R4">
        <f t="shared" si="4"/>
        <v>4</v>
      </c>
      <c r="S4" t="str">
        <v>Joseph Jackson</v>
      </c>
      <c r="T4">
        <v>29</v>
      </c>
      <c r="X4" t="str">
        <f t="shared" si="5"/>
        <v>KS</v>
      </c>
      <c r="AA4" t="str">
        <v>Kevin Scott</v>
      </c>
      <c r="AB4">
        <f t="shared" si="6"/>
        <v>3259.87</v>
      </c>
      <c r="AC4" t="str">
        <f t="shared" si="7"/>
        <v>Regular</v>
      </c>
      <c r="AF4" t="str">
        <f t="shared" si="8"/>
        <v>no match</v>
      </c>
    </row>
    <row r="5" spans="1:39" ht="29" x14ac:dyDescent="0.35">
      <c r="A5" s="1" t="s">
        <v>86</v>
      </c>
      <c r="B5" s="2">
        <v>45400</v>
      </c>
      <c r="C5" s="1" t="s">
        <v>87</v>
      </c>
      <c r="D5" s="1" t="s">
        <v>88</v>
      </c>
      <c r="E5" s="1" t="s">
        <v>82</v>
      </c>
      <c r="F5" s="1" t="s">
        <v>83</v>
      </c>
      <c r="G5" s="1" t="s">
        <v>27</v>
      </c>
      <c r="H5" s="3">
        <v>3</v>
      </c>
      <c r="I5" s="26">
        <v>59.99</v>
      </c>
      <c r="J5" s="1" t="s">
        <v>71</v>
      </c>
      <c r="K5" s="1" t="s">
        <v>89</v>
      </c>
      <c r="L5" s="1" t="s">
        <v>78</v>
      </c>
      <c r="M5" s="2">
        <v>45114</v>
      </c>
      <c r="N5" s="25">
        <f t="shared" si="0"/>
        <v>179.97</v>
      </c>
      <c r="O5" s="4">
        <f t="shared" ca="1" si="1"/>
        <v>46324.650590393518</v>
      </c>
      <c r="P5" s="5">
        <f t="shared" ca="1" si="2"/>
        <v>46324</v>
      </c>
      <c r="Q5" t="str">
        <f t="shared" si="3"/>
        <v>August</v>
      </c>
      <c r="R5">
        <f t="shared" si="4"/>
        <v>9</v>
      </c>
      <c r="S5" t="str">
        <v>Gerald Murphy</v>
      </c>
      <c r="T5">
        <v>29</v>
      </c>
      <c r="X5" t="str">
        <f t="shared" si="5"/>
        <v>KB</v>
      </c>
      <c r="AA5" t="str">
        <v>Kathleen Bennett</v>
      </c>
      <c r="AB5">
        <f t="shared" si="6"/>
        <v>4309.8100000000004</v>
      </c>
      <c r="AC5" t="str">
        <f t="shared" si="7"/>
        <v>Regular</v>
      </c>
      <c r="AF5" t="str">
        <f t="shared" si="8"/>
        <v>no match</v>
      </c>
    </row>
    <row r="6" spans="1:39" ht="29" x14ac:dyDescent="0.35">
      <c r="A6" s="1" t="s">
        <v>90</v>
      </c>
      <c r="B6" s="2">
        <v>45400</v>
      </c>
      <c r="C6" s="1" t="s">
        <v>91</v>
      </c>
      <c r="D6" s="1" t="s">
        <v>92</v>
      </c>
      <c r="E6" s="1" t="s">
        <v>93</v>
      </c>
      <c r="F6" s="1" t="s">
        <v>94</v>
      </c>
      <c r="G6" s="1" t="s">
        <v>29</v>
      </c>
      <c r="H6" s="3">
        <v>5</v>
      </c>
      <c r="I6" s="26">
        <v>149.99</v>
      </c>
      <c r="J6" s="1" t="s">
        <v>77</v>
      </c>
      <c r="K6" s="1" t="s">
        <v>89</v>
      </c>
      <c r="L6" s="1" t="s">
        <v>78</v>
      </c>
      <c r="M6" s="2">
        <v>45295</v>
      </c>
      <c r="N6" s="25">
        <f t="shared" si="0"/>
        <v>749.95</v>
      </c>
      <c r="O6" s="4">
        <f t="shared" ca="1" si="1"/>
        <v>46324.650590393518</v>
      </c>
      <c r="P6" s="5">
        <f t="shared" ca="1" si="2"/>
        <v>46324</v>
      </c>
      <c r="Q6" t="str">
        <f t="shared" si="3"/>
        <v>February</v>
      </c>
      <c r="R6">
        <f t="shared" si="4"/>
        <v>3</v>
      </c>
      <c r="S6" t="str">
        <v>Daniel King</v>
      </c>
      <c r="T6">
        <v>35</v>
      </c>
      <c r="X6" t="str">
        <f t="shared" si="5"/>
        <v>MB</v>
      </c>
      <c r="AA6" t="str">
        <v>Michael Brown</v>
      </c>
      <c r="AB6">
        <f t="shared" si="6"/>
        <v>6169.7400000000007</v>
      </c>
      <c r="AC6" t="str">
        <f t="shared" si="7"/>
        <v>high value</v>
      </c>
      <c r="AF6" t="str">
        <f t="shared" si="8"/>
        <v>no match</v>
      </c>
    </row>
    <row r="7" spans="1:39" ht="29" x14ac:dyDescent="0.35">
      <c r="A7" s="1" t="s">
        <v>95</v>
      </c>
      <c r="B7" s="2">
        <v>45403</v>
      </c>
      <c r="C7" s="1" t="s">
        <v>96</v>
      </c>
      <c r="D7" s="1" t="s">
        <v>97</v>
      </c>
      <c r="E7" s="1" t="s">
        <v>82</v>
      </c>
      <c r="F7" s="1" t="s">
        <v>83</v>
      </c>
      <c r="G7" s="1" t="s">
        <v>27</v>
      </c>
      <c r="H7" s="3">
        <v>2</v>
      </c>
      <c r="I7" s="26">
        <v>59.99</v>
      </c>
      <c r="J7" s="1" t="s">
        <v>71</v>
      </c>
      <c r="K7" s="1" t="s">
        <v>98</v>
      </c>
      <c r="L7" s="1" t="s">
        <v>85</v>
      </c>
      <c r="M7" s="2">
        <v>44746</v>
      </c>
      <c r="N7" s="25">
        <f t="shared" si="0"/>
        <v>119.98</v>
      </c>
      <c r="O7" s="4">
        <f t="shared" ca="1" si="1"/>
        <v>46324.650590393518</v>
      </c>
      <c r="P7" s="5">
        <f t="shared" ca="1" si="2"/>
        <v>46324</v>
      </c>
      <c r="Q7" t="str">
        <f t="shared" si="3"/>
        <v>August</v>
      </c>
      <c r="R7">
        <f t="shared" si="4"/>
        <v>21</v>
      </c>
      <c r="S7" t="str">
        <v>Harry Morgan</v>
      </c>
      <c r="T7">
        <v>29</v>
      </c>
      <c r="X7" t="str">
        <f t="shared" si="5"/>
        <v>DN</v>
      </c>
      <c r="AA7" t="str">
        <v>Dorothy Nelson</v>
      </c>
      <c r="AB7">
        <f>SUMIFS($N$2:$N$251,$D$2:$D$251,AA7)</f>
        <v>8269.7900000000009</v>
      </c>
      <c r="AC7" t="str">
        <f t="shared" si="7"/>
        <v>high value</v>
      </c>
      <c r="AF7" t="str">
        <f t="shared" si="8"/>
        <v>no match</v>
      </c>
    </row>
    <row r="8" spans="1:39" ht="29" x14ac:dyDescent="0.35">
      <c r="A8" s="1" t="s">
        <v>99</v>
      </c>
      <c r="B8" s="2">
        <v>45403</v>
      </c>
      <c r="C8" s="1" t="s">
        <v>96</v>
      </c>
      <c r="D8" s="1" t="s">
        <v>97</v>
      </c>
      <c r="E8" s="1" t="s">
        <v>100</v>
      </c>
      <c r="F8" s="1" t="s">
        <v>101</v>
      </c>
      <c r="G8" s="1" t="s">
        <v>28</v>
      </c>
      <c r="H8" s="3">
        <v>5</v>
      </c>
      <c r="I8" s="26">
        <v>149.99</v>
      </c>
      <c r="J8" s="1" t="s">
        <v>77</v>
      </c>
      <c r="K8" s="1" t="s">
        <v>72</v>
      </c>
      <c r="L8" s="1" t="s">
        <v>85</v>
      </c>
      <c r="M8" s="2">
        <v>44418</v>
      </c>
      <c r="N8" s="25">
        <f t="shared" si="0"/>
        <v>749.95</v>
      </c>
      <c r="O8" s="4">
        <f t="shared" ca="1" si="1"/>
        <v>46324.650590393518</v>
      </c>
      <c r="P8" s="5">
        <f t="shared" ca="1" si="2"/>
        <v>46324</v>
      </c>
      <c r="Q8" t="str">
        <f t="shared" si="3"/>
        <v>September</v>
      </c>
      <c r="R8">
        <f t="shared" si="4"/>
        <v>32</v>
      </c>
      <c r="T8">
        <v>16</v>
      </c>
      <c r="X8" t="str">
        <f t="shared" si="5"/>
        <v>DN</v>
      </c>
      <c r="AA8" t="str">
        <v>Charles Allen</v>
      </c>
      <c r="AB8">
        <f t="shared" si="6"/>
        <v>5089.7300000000005</v>
      </c>
      <c r="AC8" t="str">
        <f t="shared" si="7"/>
        <v>high value</v>
      </c>
      <c r="AF8" t="str">
        <f t="shared" si="8"/>
        <v>no match</v>
      </c>
    </row>
    <row r="9" spans="1:39" ht="29" x14ac:dyDescent="0.35">
      <c r="A9" s="1" t="s">
        <v>102</v>
      </c>
      <c r="B9" s="2">
        <v>45403</v>
      </c>
      <c r="C9" s="1" t="s">
        <v>103</v>
      </c>
      <c r="D9" s="1" t="s">
        <v>104</v>
      </c>
      <c r="E9" s="1" t="s">
        <v>82</v>
      </c>
      <c r="F9" s="1" t="s">
        <v>83</v>
      </c>
      <c r="G9" s="1" t="s">
        <v>27</v>
      </c>
      <c r="H9" s="3">
        <v>3</v>
      </c>
      <c r="I9" s="26">
        <v>59.99</v>
      </c>
      <c r="J9" s="1" t="s">
        <v>105</v>
      </c>
      <c r="K9" s="1" t="s">
        <v>52</v>
      </c>
      <c r="L9" s="1" t="s">
        <v>73</v>
      </c>
      <c r="M9" s="2">
        <v>45007</v>
      </c>
      <c r="N9" s="25">
        <f t="shared" si="0"/>
        <v>179.97</v>
      </c>
      <c r="O9" s="4">
        <f t="shared" ca="1" si="1"/>
        <v>46324.650590393518</v>
      </c>
      <c r="P9" s="5">
        <f t="shared" ca="1" si="2"/>
        <v>46324</v>
      </c>
      <c r="Q9" t="str">
        <f t="shared" si="3"/>
        <v>April</v>
      </c>
      <c r="R9">
        <f t="shared" si="4"/>
        <v>12</v>
      </c>
      <c r="T9">
        <v>29</v>
      </c>
      <c r="X9" t="str">
        <f t="shared" si="5"/>
        <v>CA</v>
      </c>
      <c r="AA9" t="str">
        <v>Robert Thomas</v>
      </c>
      <c r="AB9">
        <f t="shared" si="6"/>
        <v>3509.8999999999996</v>
      </c>
      <c r="AC9" t="str">
        <f t="shared" si="7"/>
        <v>Regular</v>
      </c>
      <c r="AF9" t="str">
        <f t="shared" si="8"/>
        <v>no match</v>
      </c>
    </row>
    <row r="10" spans="1:39" ht="29" x14ac:dyDescent="0.35">
      <c r="A10" s="1" t="s">
        <v>106</v>
      </c>
      <c r="B10" s="2">
        <v>45405</v>
      </c>
      <c r="C10" s="1" t="s">
        <v>107</v>
      </c>
      <c r="D10" s="1" t="s">
        <v>108</v>
      </c>
      <c r="E10" s="1" t="s">
        <v>109</v>
      </c>
      <c r="F10" s="1" t="s">
        <v>110</v>
      </c>
      <c r="G10" s="1" t="s">
        <v>28</v>
      </c>
      <c r="H10" s="3">
        <v>3</v>
      </c>
      <c r="I10" s="26">
        <v>899.99</v>
      </c>
      <c r="J10" s="1" t="s">
        <v>84</v>
      </c>
      <c r="K10" s="1" t="s">
        <v>111</v>
      </c>
      <c r="L10" s="1" t="s">
        <v>85</v>
      </c>
      <c r="M10" s="2">
        <v>45299</v>
      </c>
      <c r="N10" s="25">
        <f t="shared" si="0"/>
        <v>2699.9700000000003</v>
      </c>
      <c r="O10" s="4">
        <f t="shared" ca="1" si="1"/>
        <v>46324.650590393518</v>
      </c>
      <c r="P10" s="5">
        <f t="shared" ca="1" si="2"/>
        <v>46324</v>
      </c>
      <c r="Q10" t="str">
        <f t="shared" si="3"/>
        <v>February</v>
      </c>
      <c r="R10">
        <f t="shared" si="4"/>
        <v>3</v>
      </c>
      <c r="T10">
        <v>24</v>
      </c>
      <c r="X10" t="str">
        <f t="shared" si="5"/>
        <v>RT</v>
      </c>
      <c r="AA10" t="str">
        <v>Karen Hill</v>
      </c>
      <c r="AB10">
        <f t="shared" si="6"/>
        <v>8009.7699999999995</v>
      </c>
      <c r="AC10" t="str">
        <f t="shared" si="7"/>
        <v>high value</v>
      </c>
      <c r="AF10" t="str">
        <f t="shared" si="8"/>
        <v>no match</v>
      </c>
    </row>
    <row r="11" spans="1:39" ht="29" x14ac:dyDescent="0.35">
      <c r="A11" s="1" t="s">
        <v>112</v>
      </c>
      <c r="B11" s="2">
        <v>45408</v>
      </c>
      <c r="C11" s="1" t="s">
        <v>113</v>
      </c>
      <c r="D11" s="1" t="s">
        <v>114</v>
      </c>
      <c r="E11" s="1" t="s">
        <v>82</v>
      </c>
      <c r="F11" s="1" t="s">
        <v>83</v>
      </c>
      <c r="G11" s="1" t="s">
        <v>27</v>
      </c>
      <c r="H11" s="3">
        <v>3</v>
      </c>
      <c r="I11" s="26">
        <v>59.99</v>
      </c>
      <c r="J11" s="1" t="s">
        <v>71</v>
      </c>
      <c r="K11" s="1" t="s">
        <v>98</v>
      </c>
      <c r="L11" s="1" t="s">
        <v>78</v>
      </c>
      <c r="M11" s="2">
        <v>45207</v>
      </c>
      <c r="N11" s="25">
        <f t="shared" si="0"/>
        <v>179.97</v>
      </c>
      <c r="O11" s="4">
        <f t="shared" ca="1" si="1"/>
        <v>46324.650590393518</v>
      </c>
      <c r="P11" s="5">
        <f t="shared" ca="1" si="2"/>
        <v>46324</v>
      </c>
      <c r="Q11" t="str">
        <f t="shared" si="3"/>
        <v>November</v>
      </c>
      <c r="R11">
        <f t="shared" si="4"/>
        <v>6</v>
      </c>
      <c r="T11">
        <v>29</v>
      </c>
      <c r="X11" t="str">
        <f t="shared" si="5"/>
        <v>KH</v>
      </c>
      <c r="AA11" t="str">
        <v>Susan Green</v>
      </c>
      <c r="AB11">
        <f t="shared" si="6"/>
        <v>1979.89</v>
      </c>
      <c r="AC11" t="str">
        <f t="shared" si="7"/>
        <v>Regular</v>
      </c>
      <c r="AF11" t="str">
        <f t="shared" si="8"/>
        <v>no match</v>
      </c>
    </row>
    <row r="12" spans="1:39" ht="29" x14ac:dyDescent="0.35">
      <c r="A12" s="1" t="s">
        <v>115</v>
      </c>
      <c r="B12" s="2">
        <v>45408</v>
      </c>
      <c r="C12" s="1" t="s">
        <v>116</v>
      </c>
      <c r="D12" s="1" t="s">
        <v>117</v>
      </c>
      <c r="E12" s="1" t="s">
        <v>93</v>
      </c>
      <c r="F12" s="1" t="s">
        <v>94</v>
      </c>
      <c r="G12" s="1" t="s">
        <v>29</v>
      </c>
      <c r="H12" s="3">
        <v>1</v>
      </c>
      <c r="I12" s="26">
        <v>149.99</v>
      </c>
      <c r="J12" s="1" t="s">
        <v>77</v>
      </c>
      <c r="K12" s="1" t="s">
        <v>98</v>
      </c>
      <c r="L12" s="1" t="s">
        <v>85</v>
      </c>
      <c r="M12" s="2">
        <v>45103</v>
      </c>
      <c r="N12" s="25">
        <f t="shared" si="0"/>
        <v>149.99</v>
      </c>
      <c r="O12" s="4">
        <f t="shared" ca="1" si="1"/>
        <v>46324.650590393518</v>
      </c>
      <c r="P12" s="5">
        <f t="shared" ca="1" si="2"/>
        <v>46324</v>
      </c>
      <c r="Q12" t="str">
        <f t="shared" si="3"/>
        <v>July</v>
      </c>
      <c r="R12">
        <f t="shared" si="4"/>
        <v>10</v>
      </c>
      <c r="T12">
        <v>35</v>
      </c>
      <c r="X12" t="str">
        <f t="shared" si="5"/>
        <v>SG</v>
      </c>
      <c r="AA12" t="str">
        <v>Peter Richardson</v>
      </c>
      <c r="AB12">
        <f t="shared" si="6"/>
        <v>5949.85</v>
      </c>
      <c r="AC12" t="str">
        <f t="shared" si="7"/>
        <v>high value</v>
      </c>
      <c r="AF12">
        <f>IF(I12=N12,I12,"no match")</f>
        <v>149.99</v>
      </c>
    </row>
    <row r="13" spans="1:39" ht="29" x14ac:dyDescent="0.35">
      <c r="A13" s="1" t="s">
        <v>118</v>
      </c>
      <c r="B13" s="2">
        <v>45408</v>
      </c>
      <c r="C13" s="1" t="s">
        <v>87</v>
      </c>
      <c r="D13" s="1" t="s">
        <v>88</v>
      </c>
      <c r="E13" s="1" t="s">
        <v>93</v>
      </c>
      <c r="F13" s="1" t="s">
        <v>94</v>
      </c>
      <c r="G13" s="1" t="s">
        <v>29</v>
      </c>
      <c r="H13" s="3">
        <v>5</v>
      </c>
      <c r="I13" s="26">
        <v>149.99</v>
      </c>
      <c r="J13" s="1" t="s">
        <v>105</v>
      </c>
      <c r="K13" s="1" t="s">
        <v>89</v>
      </c>
      <c r="L13" s="1" t="s">
        <v>73</v>
      </c>
      <c r="M13" s="2">
        <v>44830</v>
      </c>
      <c r="N13" s="25">
        <f t="shared" si="0"/>
        <v>749.95</v>
      </c>
      <c r="O13" s="4">
        <f t="shared" ca="1" si="1"/>
        <v>46324.650590393518</v>
      </c>
      <c r="P13" s="5">
        <f t="shared" ca="1" si="2"/>
        <v>46324</v>
      </c>
      <c r="Q13" t="str">
        <f t="shared" si="3"/>
        <v>October</v>
      </c>
      <c r="R13">
        <f t="shared" si="4"/>
        <v>19</v>
      </c>
      <c r="T13">
        <v>35</v>
      </c>
      <c r="X13" t="str">
        <f t="shared" si="5"/>
        <v>KB</v>
      </c>
      <c r="AA13" t="str">
        <v>Dennis Gray</v>
      </c>
      <c r="AB13">
        <f>SUMIFS($N$2:$N$251,$D$2:$D$251,AA13)</f>
        <v>479.91999999999996</v>
      </c>
      <c r="AC13" t="str">
        <f t="shared" si="7"/>
        <v>Regular</v>
      </c>
      <c r="AF13" t="str">
        <f t="shared" si="8"/>
        <v>no match</v>
      </c>
    </row>
    <row r="14" spans="1:39" ht="43.5" x14ac:dyDescent="0.35">
      <c r="A14" s="1" t="s">
        <v>119</v>
      </c>
      <c r="B14" s="2">
        <v>45408</v>
      </c>
      <c r="C14" s="1" t="s">
        <v>120</v>
      </c>
      <c r="D14" s="1" t="s">
        <v>121</v>
      </c>
      <c r="E14" s="1" t="s">
        <v>93</v>
      </c>
      <c r="F14" s="1" t="s">
        <v>94</v>
      </c>
      <c r="G14" s="1" t="s">
        <v>29</v>
      </c>
      <c r="H14" s="3">
        <v>3</v>
      </c>
      <c r="I14" s="26">
        <v>149.99</v>
      </c>
      <c r="J14" s="1" t="s">
        <v>71</v>
      </c>
      <c r="K14" s="1" t="s">
        <v>89</v>
      </c>
      <c r="L14" s="1" t="s">
        <v>78</v>
      </c>
      <c r="M14" s="2">
        <v>44806</v>
      </c>
      <c r="N14" s="25">
        <f t="shared" si="0"/>
        <v>449.97</v>
      </c>
      <c r="O14" s="4">
        <f t="shared" ca="1" si="1"/>
        <v>46324.650590393518</v>
      </c>
      <c r="P14" s="5">
        <f t="shared" ca="1" si="2"/>
        <v>46324</v>
      </c>
      <c r="Q14" t="str">
        <f t="shared" si="3"/>
        <v>October</v>
      </c>
      <c r="R14">
        <f t="shared" si="4"/>
        <v>19</v>
      </c>
      <c r="T14">
        <v>35</v>
      </c>
      <c r="X14" t="str">
        <f t="shared" si="5"/>
        <v>PR</v>
      </c>
      <c r="AA14" t="str">
        <v>Michelle Rogers</v>
      </c>
      <c r="AB14">
        <f t="shared" si="6"/>
        <v>4199.9400000000005</v>
      </c>
      <c r="AC14" t="str">
        <f t="shared" si="7"/>
        <v>Regular</v>
      </c>
      <c r="AF14" t="str">
        <f t="shared" si="8"/>
        <v>no match</v>
      </c>
    </row>
    <row r="15" spans="1:39" ht="29" x14ac:dyDescent="0.35">
      <c r="A15" s="1" t="s">
        <v>122</v>
      </c>
      <c r="B15" s="2">
        <v>45409</v>
      </c>
      <c r="C15" s="1" t="s">
        <v>123</v>
      </c>
      <c r="D15" s="1" t="s">
        <v>124</v>
      </c>
      <c r="E15" s="1" t="s">
        <v>82</v>
      </c>
      <c r="F15" s="1" t="s">
        <v>83</v>
      </c>
      <c r="G15" s="1" t="s">
        <v>27</v>
      </c>
      <c r="H15" s="3">
        <v>3</v>
      </c>
      <c r="I15" s="26">
        <v>59.99</v>
      </c>
      <c r="J15" s="1" t="s">
        <v>77</v>
      </c>
      <c r="K15" s="1" t="s">
        <v>89</v>
      </c>
      <c r="L15" s="1" t="s">
        <v>85</v>
      </c>
      <c r="M15" s="2">
        <v>45351</v>
      </c>
      <c r="N15" s="25">
        <f t="shared" si="0"/>
        <v>179.97</v>
      </c>
      <c r="O15" s="4">
        <f t="shared" ca="1" si="1"/>
        <v>46324.650590393518</v>
      </c>
      <c r="P15" s="5">
        <f t="shared" ca="1" si="2"/>
        <v>46324</v>
      </c>
      <c r="Q15" t="str">
        <f t="shared" si="3"/>
        <v>March</v>
      </c>
      <c r="R15">
        <f t="shared" si="4"/>
        <v>1</v>
      </c>
      <c r="T15">
        <v>29</v>
      </c>
      <c r="X15" t="str">
        <f t="shared" si="5"/>
        <v>DG</v>
      </c>
      <c r="AA15" t="str">
        <v>George Adams</v>
      </c>
      <c r="AB15">
        <f t="shared" si="6"/>
        <v>3779.93</v>
      </c>
      <c r="AC15" t="str">
        <f t="shared" si="7"/>
        <v>Regular</v>
      </c>
      <c r="AF15" t="str">
        <f t="shared" si="8"/>
        <v>no match</v>
      </c>
    </row>
    <row r="16" spans="1:39" ht="29" x14ac:dyDescent="0.35">
      <c r="A16" s="1" t="s">
        <v>125</v>
      </c>
      <c r="B16" s="2">
        <v>45409</v>
      </c>
      <c r="C16" s="1" t="s">
        <v>126</v>
      </c>
      <c r="D16" s="1" t="s">
        <v>127</v>
      </c>
      <c r="E16" s="1" t="s">
        <v>128</v>
      </c>
      <c r="F16" s="1" t="s">
        <v>129</v>
      </c>
      <c r="G16" s="1" t="s">
        <v>28</v>
      </c>
      <c r="H16" s="3">
        <v>3</v>
      </c>
      <c r="I16" s="26">
        <v>699.99</v>
      </c>
      <c r="J16" s="1" t="s">
        <v>77</v>
      </c>
      <c r="K16" s="1" t="s">
        <v>98</v>
      </c>
      <c r="L16" s="1" t="s">
        <v>73</v>
      </c>
      <c r="M16" s="2">
        <v>44577</v>
      </c>
      <c r="N16" s="25">
        <f t="shared" si="0"/>
        <v>2099.9700000000003</v>
      </c>
      <c r="O16" s="4">
        <f t="shared" ca="1" si="1"/>
        <v>46324.650590393518</v>
      </c>
      <c r="P16" s="5">
        <f t="shared" ca="1" si="2"/>
        <v>46324</v>
      </c>
      <c r="Q16" t="str">
        <f t="shared" si="3"/>
        <v>February</v>
      </c>
      <c r="R16">
        <f t="shared" si="4"/>
        <v>27</v>
      </c>
      <c r="T16">
        <v>31</v>
      </c>
      <c r="X16" t="str">
        <f t="shared" si="5"/>
        <v>MR</v>
      </c>
      <c r="AA16" t="str">
        <v>Mark Carter</v>
      </c>
      <c r="AB16">
        <f t="shared" si="6"/>
        <v>15659.65</v>
      </c>
      <c r="AC16" t="str">
        <f t="shared" si="7"/>
        <v>high value</v>
      </c>
      <c r="AF16" t="str">
        <f t="shared" si="8"/>
        <v>no match</v>
      </c>
    </row>
    <row r="17" spans="1:32" ht="29" x14ac:dyDescent="0.35">
      <c r="A17" s="1" t="s">
        <v>130</v>
      </c>
      <c r="B17" s="2">
        <v>45409</v>
      </c>
      <c r="C17" s="1" t="s">
        <v>131</v>
      </c>
      <c r="D17" s="1" t="s">
        <v>132</v>
      </c>
      <c r="E17" s="1" t="s">
        <v>109</v>
      </c>
      <c r="F17" s="1" t="s">
        <v>110</v>
      </c>
      <c r="G17" s="1" t="s">
        <v>28</v>
      </c>
      <c r="H17" s="3">
        <v>1</v>
      </c>
      <c r="I17" s="26">
        <v>899.99</v>
      </c>
      <c r="J17" s="1" t="s">
        <v>105</v>
      </c>
      <c r="K17" s="1" t="s">
        <v>89</v>
      </c>
      <c r="L17" s="1" t="s">
        <v>85</v>
      </c>
      <c r="M17" s="2">
        <v>44920</v>
      </c>
      <c r="N17" s="25">
        <f t="shared" si="0"/>
        <v>899.99</v>
      </c>
      <c r="O17" s="4">
        <f t="shared" ca="1" si="1"/>
        <v>46324.650590393518</v>
      </c>
      <c r="P17" s="5">
        <f t="shared" ca="1" si="2"/>
        <v>46324</v>
      </c>
      <c r="Q17" t="str">
        <f t="shared" si="3"/>
        <v>January</v>
      </c>
      <c r="R17">
        <f t="shared" si="4"/>
        <v>16</v>
      </c>
      <c r="T17">
        <v>24</v>
      </c>
      <c r="X17" t="str">
        <f t="shared" si="5"/>
        <v>GA</v>
      </c>
      <c r="AA17" t="str">
        <v>Maria Garcia</v>
      </c>
      <c r="AB17">
        <f t="shared" si="6"/>
        <v>1909.93</v>
      </c>
      <c r="AC17" t="str">
        <f t="shared" si="7"/>
        <v>Regular</v>
      </c>
      <c r="AF17">
        <f t="shared" si="8"/>
        <v>899.99</v>
      </c>
    </row>
    <row r="18" spans="1:32" ht="29" x14ac:dyDescent="0.35">
      <c r="A18" s="1" t="s">
        <v>133</v>
      </c>
      <c r="B18" s="2">
        <v>45410</v>
      </c>
      <c r="C18" s="1" t="s">
        <v>134</v>
      </c>
      <c r="D18" s="1" t="s">
        <v>135</v>
      </c>
      <c r="E18" s="1" t="s">
        <v>93</v>
      </c>
      <c r="F18" s="1" t="s">
        <v>94</v>
      </c>
      <c r="G18" s="1" t="s">
        <v>29</v>
      </c>
      <c r="H18" s="3">
        <v>4</v>
      </c>
      <c r="I18" s="26">
        <v>149.99</v>
      </c>
      <c r="J18" s="1" t="s">
        <v>105</v>
      </c>
      <c r="K18" s="1" t="s">
        <v>89</v>
      </c>
      <c r="L18" s="1" t="s">
        <v>78</v>
      </c>
      <c r="M18" s="2">
        <v>45374</v>
      </c>
      <c r="N18" s="25">
        <f t="shared" si="0"/>
        <v>599.96</v>
      </c>
      <c r="O18" s="4">
        <f t="shared" ca="1" si="1"/>
        <v>46324.650590393518</v>
      </c>
      <c r="P18" s="5">
        <f t="shared" ca="1" si="2"/>
        <v>46324</v>
      </c>
      <c r="Q18" t="str">
        <f t="shared" si="3"/>
        <v>April</v>
      </c>
      <c r="R18">
        <f t="shared" si="4"/>
        <v>1</v>
      </c>
      <c r="T18">
        <v>35</v>
      </c>
      <c r="X18" t="str">
        <f t="shared" si="5"/>
        <v>MC</v>
      </c>
      <c r="AA18" t="str">
        <v>Virginia Sanders</v>
      </c>
      <c r="AB18">
        <f t="shared" si="6"/>
        <v>4789.7900000000009</v>
      </c>
      <c r="AC18" t="str">
        <f t="shared" si="7"/>
        <v>Regular</v>
      </c>
      <c r="AF18" t="str">
        <f t="shared" si="8"/>
        <v>no match</v>
      </c>
    </row>
    <row r="19" spans="1:32" ht="29" x14ac:dyDescent="0.35">
      <c r="A19" s="1" t="s">
        <v>136</v>
      </c>
      <c r="B19" s="2">
        <v>45410</v>
      </c>
      <c r="C19" s="1" t="s">
        <v>137</v>
      </c>
      <c r="D19" s="1" t="s">
        <v>138</v>
      </c>
      <c r="E19" s="1" t="s">
        <v>128</v>
      </c>
      <c r="F19" s="1" t="s">
        <v>129</v>
      </c>
      <c r="G19" s="1" t="s">
        <v>28</v>
      </c>
      <c r="H19" s="3">
        <v>2</v>
      </c>
      <c r="I19" s="26">
        <v>699.99</v>
      </c>
      <c r="J19" s="1" t="s">
        <v>71</v>
      </c>
      <c r="K19" s="1" t="s">
        <v>89</v>
      </c>
      <c r="L19" s="1" t="s">
        <v>73</v>
      </c>
      <c r="M19" s="2">
        <v>44781</v>
      </c>
      <c r="N19" s="25">
        <f t="shared" si="0"/>
        <v>1399.98</v>
      </c>
      <c r="O19" s="4">
        <f t="shared" ca="1" si="1"/>
        <v>46324.650590393518</v>
      </c>
      <c r="P19" s="5">
        <f t="shared" ca="1" si="2"/>
        <v>46324</v>
      </c>
      <c r="Q19" t="str">
        <f t="shared" si="3"/>
        <v>September</v>
      </c>
      <c r="R19">
        <f t="shared" si="4"/>
        <v>20</v>
      </c>
      <c r="T19">
        <v>31</v>
      </c>
      <c r="X19" t="str">
        <f t="shared" si="5"/>
        <v>MG</v>
      </c>
      <c r="AA19" t="str">
        <v>Barbara Young</v>
      </c>
      <c r="AB19">
        <f t="shared" si="6"/>
        <v>10649.8</v>
      </c>
      <c r="AC19" t="str">
        <f t="shared" si="7"/>
        <v>high value</v>
      </c>
      <c r="AF19" t="str">
        <f t="shared" si="8"/>
        <v>no match</v>
      </c>
    </row>
    <row r="20" spans="1:32" ht="29" x14ac:dyDescent="0.35">
      <c r="A20" s="1" t="s">
        <v>139</v>
      </c>
      <c r="B20" s="2">
        <v>45410</v>
      </c>
      <c r="C20" s="1" t="s">
        <v>134</v>
      </c>
      <c r="D20" s="1" t="s">
        <v>135</v>
      </c>
      <c r="E20" s="1" t="s">
        <v>109</v>
      </c>
      <c r="F20" s="1" t="s">
        <v>110</v>
      </c>
      <c r="G20" s="1" t="s">
        <v>28</v>
      </c>
      <c r="H20" s="3">
        <v>4</v>
      </c>
      <c r="I20" s="26">
        <v>899.99</v>
      </c>
      <c r="J20" s="1" t="s">
        <v>77</v>
      </c>
      <c r="K20" s="1" t="s">
        <v>98</v>
      </c>
      <c r="L20" s="1" t="s">
        <v>85</v>
      </c>
      <c r="M20" s="2">
        <v>45327</v>
      </c>
      <c r="N20" s="25">
        <f t="shared" si="0"/>
        <v>3599.96</v>
      </c>
      <c r="O20" s="4">
        <f t="shared" ca="1" si="1"/>
        <v>46324.650590393518</v>
      </c>
      <c r="P20" s="5">
        <f t="shared" ca="1" si="2"/>
        <v>46324</v>
      </c>
      <c r="Q20" t="str">
        <f t="shared" si="3"/>
        <v>March</v>
      </c>
      <c r="R20">
        <f t="shared" si="4"/>
        <v>2</v>
      </c>
      <c r="T20">
        <v>24</v>
      </c>
      <c r="X20" t="str">
        <f t="shared" si="5"/>
        <v>MC</v>
      </c>
      <c r="AA20" t="str">
        <v>Patricia Moore</v>
      </c>
      <c r="AB20">
        <f t="shared" si="6"/>
        <v>9799.73</v>
      </c>
      <c r="AC20" t="str">
        <f t="shared" si="7"/>
        <v>high value</v>
      </c>
      <c r="AF20" t="str">
        <f t="shared" si="8"/>
        <v>no match</v>
      </c>
    </row>
    <row r="21" spans="1:32" ht="29" x14ac:dyDescent="0.35">
      <c r="A21" s="1" t="s">
        <v>140</v>
      </c>
      <c r="B21" s="2">
        <v>45410</v>
      </c>
      <c r="C21" s="1" t="s">
        <v>141</v>
      </c>
      <c r="D21" s="1" t="s">
        <v>142</v>
      </c>
      <c r="E21" s="1" t="s">
        <v>69</v>
      </c>
      <c r="F21" s="1" t="s">
        <v>70</v>
      </c>
      <c r="G21" s="1" t="s">
        <v>28</v>
      </c>
      <c r="H21" s="3">
        <v>3</v>
      </c>
      <c r="I21" s="26">
        <v>249.99</v>
      </c>
      <c r="J21" s="1" t="s">
        <v>77</v>
      </c>
      <c r="K21" s="1" t="s">
        <v>89</v>
      </c>
      <c r="L21" s="1" t="s">
        <v>78</v>
      </c>
      <c r="M21" s="2">
        <v>45224</v>
      </c>
      <c r="N21" s="25">
        <f t="shared" si="0"/>
        <v>749.97</v>
      </c>
      <c r="O21" s="4">
        <f t="shared" ca="1" si="1"/>
        <v>46324.650590393518</v>
      </c>
      <c r="P21" s="5">
        <f t="shared" ca="1" si="2"/>
        <v>46324</v>
      </c>
      <c r="Q21" t="str">
        <f t="shared" si="3"/>
        <v>November</v>
      </c>
      <c r="R21">
        <f t="shared" si="4"/>
        <v>6</v>
      </c>
      <c r="T21">
        <v>26</v>
      </c>
      <c r="X21" t="str">
        <f t="shared" si="5"/>
        <v>VS</v>
      </c>
      <c r="AA21" t="str">
        <v>Cynthia Price</v>
      </c>
      <c r="AB21">
        <f t="shared" si="6"/>
        <v>3769.8300000000004</v>
      </c>
      <c r="AC21" t="str">
        <f t="shared" si="7"/>
        <v>Regular</v>
      </c>
      <c r="AF21" t="str">
        <f t="shared" si="8"/>
        <v>no match</v>
      </c>
    </row>
    <row r="22" spans="1:32" ht="29" x14ac:dyDescent="0.35">
      <c r="A22" s="1" t="s">
        <v>143</v>
      </c>
      <c r="B22" s="2">
        <v>45412</v>
      </c>
      <c r="C22" s="1" t="s">
        <v>144</v>
      </c>
      <c r="D22" s="1" t="s">
        <v>145</v>
      </c>
      <c r="E22" s="1" t="s">
        <v>128</v>
      </c>
      <c r="F22" s="1" t="s">
        <v>129</v>
      </c>
      <c r="G22" s="1" t="s">
        <v>28</v>
      </c>
      <c r="H22" s="3">
        <v>5</v>
      </c>
      <c r="I22" s="26">
        <v>699.99</v>
      </c>
      <c r="J22" s="1" t="s">
        <v>71</v>
      </c>
      <c r="K22" s="1" t="s">
        <v>98</v>
      </c>
      <c r="L22" s="1" t="s">
        <v>73</v>
      </c>
      <c r="M22" s="2">
        <v>45167</v>
      </c>
      <c r="N22" s="25">
        <f t="shared" si="0"/>
        <v>3499.95</v>
      </c>
      <c r="O22" s="4">
        <f t="shared" ca="1" si="1"/>
        <v>46324.650590393518</v>
      </c>
      <c r="P22" s="5">
        <f t="shared" ca="1" si="2"/>
        <v>46324</v>
      </c>
      <c r="Q22" t="str">
        <f t="shared" si="3"/>
        <v>September</v>
      </c>
      <c r="R22">
        <f t="shared" si="4"/>
        <v>8</v>
      </c>
      <c r="T22">
        <v>31</v>
      </c>
      <c r="X22" t="str">
        <f t="shared" si="5"/>
        <v>BY</v>
      </c>
      <c r="AA22" t="str">
        <v>Nancy Collins</v>
      </c>
      <c r="AB22">
        <f t="shared" si="6"/>
        <v>4189.7700000000004</v>
      </c>
      <c r="AC22" t="str">
        <f t="shared" si="7"/>
        <v>Regular</v>
      </c>
      <c r="AF22" t="str">
        <f t="shared" si="8"/>
        <v>no match</v>
      </c>
    </row>
    <row r="23" spans="1:32" ht="29" x14ac:dyDescent="0.35">
      <c r="A23" s="1" t="s">
        <v>146</v>
      </c>
      <c r="B23" s="2">
        <v>45413</v>
      </c>
      <c r="C23" s="1" t="s">
        <v>147</v>
      </c>
      <c r="D23" s="1" t="s">
        <v>148</v>
      </c>
      <c r="E23" s="1" t="s">
        <v>128</v>
      </c>
      <c r="F23" s="1" t="s">
        <v>129</v>
      </c>
      <c r="G23" s="1" t="s">
        <v>28</v>
      </c>
      <c r="H23" s="3">
        <v>4</v>
      </c>
      <c r="I23" s="26">
        <v>699.99</v>
      </c>
      <c r="J23" s="1" t="s">
        <v>71</v>
      </c>
      <c r="K23" s="1" t="s">
        <v>111</v>
      </c>
      <c r="L23" s="1" t="s">
        <v>85</v>
      </c>
      <c r="M23" s="2">
        <v>44409</v>
      </c>
      <c r="N23" s="25">
        <f t="shared" si="0"/>
        <v>2799.96</v>
      </c>
      <c r="O23" s="4">
        <f t="shared" ca="1" si="1"/>
        <v>46324.650590393518</v>
      </c>
      <c r="P23" s="5">
        <f t="shared" ca="1" si="2"/>
        <v>46324</v>
      </c>
      <c r="Q23" t="str">
        <f t="shared" si="3"/>
        <v>September</v>
      </c>
      <c r="R23">
        <f t="shared" si="4"/>
        <v>33</v>
      </c>
      <c r="T23">
        <v>31</v>
      </c>
      <c r="X23" t="str">
        <f t="shared" si="5"/>
        <v>PM</v>
      </c>
      <c r="AA23" t="str">
        <v>Linda Martin</v>
      </c>
      <c r="AB23">
        <f t="shared" si="6"/>
        <v>1289.9000000000001</v>
      </c>
      <c r="AC23" t="str">
        <f t="shared" si="7"/>
        <v>Regular</v>
      </c>
      <c r="AF23" t="str">
        <f t="shared" si="8"/>
        <v>no match</v>
      </c>
    </row>
    <row r="24" spans="1:32" ht="29" x14ac:dyDescent="0.35">
      <c r="A24" s="1" t="s">
        <v>149</v>
      </c>
      <c r="B24" s="2">
        <v>45415</v>
      </c>
      <c r="C24" s="1" t="s">
        <v>150</v>
      </c>
      <c r="D24" s="1" t="s">
        <v>151</v>
      </c>
      <c r="E24" s="1" t="s">
        <v>69</v>
      </c>
      <c r="F24" s="1" t="s">
        <v>70</v>
      </c>
      <c r="G24" s="1" t="s">
        <v>28</v>
      </c>
      <c r="H24" s="3">
        <v>4</v>
      </c>
      <c r="I24" s="26">
        <v>249.99</v>
      </c>
      <c r="J24" s="1" t="s">
        <v>84</v>
      </c>
      <c r="K24" s="1" t="s">
        <v>89</v>
      </c>
      <c r="L24" s="1" t="s">
        <v>85</v>
      </c>
      <c r="M24" s="2">
        <v>44468</v>
      </c>
      <c r="N24" s="25">
        <f t="shared" si="0"/>
        <v>999.96</v>
      </c>
      <c r="O24" s="4">
        <f t="shared" ca="1" si="1"/>
        <v>46324.650590393518</v>
      </c>
      <c r="P24" s="5">
        <f t="shared" ca="1" si="2"/>
        <v>46324</v>
      </c>
      <c r="Q24" t="str">
        <f t="shared" si="3"/>
        <v>October</v>
      </c>
      <c r="R24">
        <f t="shared" si="4"/>
        <v>31</v>
      </c>
      <c r="T24">
        <v>26</v>
      </c>
      <c r="X24" t="str">
        <f t="shared" si="5"/>
        <v>CP</v>
      </c>
      <c r="AA24" t="str">
        <v>Helen Roberts</v>
      </c>
      <c r="AB24">
        <f t="shared" si="6"/>
        <v>6459.79</v>
      </c>
      <c r="AC24" t="str">
        <f t="shared" si="7"/>
        <v>high value</v>
      </c>
      <c r="AF24" t="str">
        <f t="shared" si="8"/>
        <v>no match</v>
      </c>
    </row>
    <row r="25" spans="1:32" ht="29" x14ac:dyDescent="0.35">
      <c r="A25" s="1" t="s">
        <v>152</v>
      </c>
      <c r="B25" s="2">
        <v>45416</v>
      </c>
      <c r="C25" s="1" t="s">
        <v>134</v>
      </c>
      <c r="D25" s="1" t="s">
        <v>135</v>
      </c>
      <c r="E25" s="1" t="s">
        <v>153</v>
      </c>
      <c r="F25" s="1" t="s">
        <v>154</v>
      </c>
      <c r="G25" s="1" t="s">
        <v>29</v>
      </c>
      <c r="H25" s="3">
        <v>4</v>
      </c>
      <c r="I25" s="26">
        <v>299.99</v>
      </c>
      <c r="J25" s="1" t="s">
        <v>71</v>
      </c>
      <c r="K25" s="1" t="s">
        <v>98</v>
      </c>
      <c r="L25" s="1" t="s">
        <v>78</v>
      </c>
      <c r="M25" s="2">
        <v>44716</v>
      </c>
      <c r="N25" s="25">
        <f t="shared" si="0"/>
        <v>1199.96</v>
      </c>
      <c r="O25" s="4">
        <f t="shared" ca="1" si="1"/>
        <v>46324.650590393518</v>
      </c>
      <c r="P25" s="5">
        <f t="shared" ca="1" si="2"/>
        <v>46324</v>
      </c>
      <c r="Q25" t="str">
        <f t="shared" si="3"/>
        <v>July</v>
      </c>
      <c r="R25">
        <f t="shared" si="4"/>
        <v>23</v>
      </c>
      <c r="T25">
        <v>26</v>
      </c>
      <c r="X25" t="str">
        <f t="shared" si="5"/>
        <v>MC</v>
      </c>
      <c r="AA25" t="str">
        <v>Edward Mitchell</v>
      </c>
      <c r="AB25">
        <f t="shared" si="6"/>
        <v>11919.77</v>
      </c>
      <c r="AC25" t="str">
        <f t="shared" si="7"/>
        <v>high value</v>
      </c>
      <c r="AF25" t="str">
        <f t="shared" si="8"/>
        <v>no match</v>
      </c>
    </row>
    <row r="26" spans="1:32" ht="29" x14ac:dyDescent="0.35">
      <c r="A26" s="1" t="s">
        <v>155</v>
      </c>
      <c r="B26" s="2">
        <v>45422</v>
      </c>
      <c r="C26" s="1" t="s">
        <v>156</v>
      </c>
      <c r="D26" s="1" t="s">
        <v>157</v>
      </c>
      <c r="E26" s="1" t="s">
        <v>69</v>
      </c>
      <c r="F26" s="1" t="s">
        <v>70</v>
      </c>
      <c r="G26" s="1" t="s">
        <v>28</v>
      </c>
      <c r="H26" s="3">
        <v>5</v>
      </c>
      <c r="I26" s="26">
        <v>249.99</v>
      </c>
      <c r="J26" s="1" t="s">
        <v>77</v>
      </c>
      <c r="K26" s="1" t="s">
        <v>98</v>
      </c>
      <c r="L26" s="1" t="s">
        <v>85</v>
      </c>
      <c r="M26" s="2">
        <v>44525</v>
      </c>
      <c r="N26" s="25">
        <f t="shared" si="0"/>
        <v>1249.95</v>
      </c>
      <c r="O26" s="4">
        <f t="shared" ca="1" si="1"/>
        <v>46324.650590393518</v>
      </c>
      <c r="P26" s="5">
        <f t="shared" ca="1" si="2"/>
        <v>46324</v>
      </c>
      <c r="Q26" t="str">
        <f t="shared" si="3"/>
        <v>December</v>
      </c>
      <c r="R26">
        <f t="shared" si="4"/>
        <v>29</v>
      </c>
      <c r="T26">
        <v>26</v>
      </c>
      <c r="X26" t="str">
        <f t="shared" si="5"/>
        <v>NC</v>
      </c>
      <c r="AA26" t="str">
        <v>Lisa Anderson</v>
      </c>
      <c r="AB26">
        <f t="shared" si="6"/>
        <v>2039.8000000000002</v>
      </c>
      <c r="AC26" t="str">
        <f t="shared" si="7"/>
        <v>Regular</v>
      </c>
      <c r="AF26" t="str">
        <f t="shared" si="8"/>
        <v>no match</v>
      </c>
    </row>
    <row r="27" spans="1:32" ht="29" x14ac:dyDescent="0.35">
      <c r="A27" s="1" t="s">
        <v>158</v>
      </c>
      <c r="B27" s="2">
        <v>45424</v>
      </c>
      <c r="C27" s="1" t="s">
        <v>116</v>
      </c>
      <c r="D27" s="1" t="s">
        <v>117</v>
      </c>
      <c r="E27" s="1" t="s">
        <v>153</v>
      </c>
      <c r="F27" s="1" t="s">
        <v>154</v>
      </c>
      <c r="G27" s="1" t="s">
        <v>29</v>
      </c>
      <c r="H27" s="3">
        <v>5</v>
      </c>
      <c r="I27" s="26">
        <v>299.99</v>
      </c>
      <c r="J27" s="1" t="s">
        <v>84</v>
      </c>
      <c r="K27" s="1" t="s">
        <v>111</v>
      </c>
      <c r="L27" s="1" t="s">
        <v>73</v>
      </c>
      <c r="M27" s="2">
        <v>45168</v>
      </c>
      <c r="N27" s="25">
        <f t="shared" si="0"/>
        <v>1499.95</v>
      </c>
      <c r="O27" s="4">
        <f t="shared" ca="1" si="1"/>
        <v>46324.650590393518</v>
      </c>
      <c r="P27" s="5">
        <f t="shared" ca="1" si="2"/>
        <v>46324</v>
      </c>
      <c r="Q27" t="str">
        <f t="shared" si="3"/>
        <v>September</v>
      </c>
      <c r="R27">
        <f t="shared" si="4"/>
        <v>8</v>
      </c>
      <c r="T27">
        <v>26</v>
      </c>
      <c r="X27" t="str">
        <f t="shared" si="5"/>
        <v>SG</v>
      </c>
      <c r="AA27" t="str">
        <v>Emma Wilson</v>
      </c>
      <c r="AB27">
        <f t="shared" si="6"/>
        <v>1229.8800000000001</v>
      </c>
      <c r="AC27" t="str">
        <f t="shared" si="7"/>
        <v>Regular</v>
      </c>
      <c r="AF27" t="str">
        <f t="shared" si="8"/>
        <v>no match</v>
      </c>
    </row>
    <row r="28" spans="1:32" ht="29" x14ac:dyDescent="0.35">
      <c r="A28" s="1" t="s">
        <v>159</v>
      </c>
      <c r="B28" s="2">
        <v>45424</v>
      </c>
      <c r="C28" s="1" t="s">
        <v>160</v>
      </c>
      <c r="D28" s="1" t="s">
        <v>161</v>
      </c>
      <c r="E28" s="1" t="s">
        <v>162</v>
      </c>
      <c r="F28" s="1" t="s">
        <v>163</v>
      </c>
      <c r="G28" s="1" t="s">
        <v>27</v>
      </c>
      <c r="H28" s="3">
        <v>3</v>
      </c>
      <c r="I28" s="26">
        <v>79.989999999999995</v>
      </c>
      <c r="J28" s="1" t="s">
        <v>84</v>
      </c>
      <c r="K28" s="1" t="s">
        <v>111</v>
      </c>
      <c r="L28" s="1" t="s">
        <v>78</v>
      </c>
      <c r="M28" s="2">
        <v>45012</v>
      </c>
      <c r="N28" s="25">
        <f t="shared" si="0"/>
        <v>239.96999999999997</v>
      </c>
      <c r="O28" s="4">
        <f t="shared" ca="1" si="1"/>
        <v>46324.650590393518</v>
      </c>
      <c r="P28" s="5">
        <f t="shared" ca="1" si="2"/>
        <v>46324</v>
      </c>
      <c r="Q28" t="str">
        <f t="shared" si="3"/>
        <v>April</v>
      </c>
      <c r="R28">
        <f t="shared" si="4"/>
        <v>13</v>
      </c>
      <c r="T28">
        <v>14</v>
      </c>
      <c r="X28" t="str">
        <f t="shared" si="5"/>
        <v>LM</v>
      </c>
      <c r="AA28" t="str">
        <v>Steven Turner</v>
      </c>
      <c r="AB28">
        <f t="shared" si="6"/>
        <v>2649.83</v>
      </c>
      <c r="AC28" t="str">
        <f t="shared" si="7"/>
        <v>Regular</v>
      </c>
      <c r="AF28" t="str">
        <f t="shared" si="8"/>
        <v>no match</v>
      </c>
    </row>
    <row r="29" spans="1:32" ht="29" x14ac:dyDescent="0.35">
      <c r="A29" s="1" t="s">
        <v>164</v>
      </c>
      <c r="B29" s="2">
        <v>45424</v>
      </c>
      <c r="C29" s="1" t="s">
        <v>147</v>
      </c>
      <c r="D29" s="1" t="s">
        <v>148</v>
      </c>
      <c r="E29" s="1" t="s">
        <v>165</v>
      </c>
      <c r="F29" s="1" t="s">
        <v>166</v>
      </c>
      <c r="G29" s="1" t="s">
        <v>28</v>
      </c>
      <c r="H29" s="3">
        <v>5</v>
      </c>
      <c r="I29" s="26">
        <v>89.99</v>
      </c>
      <c r="J29" s="1" t="s">
        <v>71</v>
      </c>
      <c r="K29" s="1" t="s">
        <v>89</v>
      </c>
      <c r="L29" s="1" t="s">
        <v>78</v>
      </c>
      <c r="M29" s="2">
        <v>44919</v>
      </c>
      <c r="N29" s="25">
        <f t="shared" si="0"/>
        <v>449.95</v>
      </c>
      <c r="O29" s="4">
        <f t="shared" ca="1" si="1"/>
        <v>46324.650590393518</v>
      </c>
      <c r="P29" s="5">
        <f t="shared" ca="1" si="2"/>
        <v>46324</v>
      </c>
      <c r="Q29" t="str">
        <f t="shared" si="3"/>
        <v>January</v>
      </c>
      <c r="R29">
        <f t="shared" si="4"/>
        <v>16</v>
      </c>
      <c r="T29">
        <v>34</v>
      </c>
      <c r="X29" t="str">
        <f t="shared" si="5"/>
        <v>PM</v>
      </c>
      <c r="AA29" t="str">
        <v>Jennifer Taylor</v>
      </c>
      <c r="AB29">
        <f t="shared" si="6"/>
        <v>4739.8500000000004</v>
      </c>
      <c r="AC29" t="str">
        <f t="shared" si="7"/>
        <v>Regular</v>
      </c>
      <c r="AF29" t="str">
        <f t="shared" si="8"/>
        <v>no match</v>
      </c>
    </row>
    <row r="30" spans="1:32" ht="29" x14ac:dyDescent="0.35">
      <c r="A30" s="1" t="s">
        <v>167</v>
      </c>
      <c r="B30" s="2">
        <v>45425</v>
      </c>
      <c r="C30" s="1" t="s">
        <v>168</v>
      </c>
      <c r="D30" s="1" t="s">
        <v>169</v>
      </c>
      <c r="E30" s="1" t="s">
        <v>82</v>
      </c>
      <c r="F30" s="1" t="s">
        <v>83</v>
      </c>
      <c r="G30" s="1" t="s">
        <v>27</v>
      </c>
      <c r="H30" s="3">
        <v>2</v>
      </c>
      <c r="I30" s="26">
        <v>59.99</v>
      </c>
      <c r="J30" s="1" t="s">
        <v>105</v>
      </c>
      <c r="K30" s="1" t="s">
        <v>72</v>
      </c>
      <c r="L30" s="1" t="s">
        <v>85</v>
      </c>
      <c r="M30" s="2">
        <v>45214</v>
      </c>
      <c r="N30" s="25">
        <f t="shared" si="0"/>
        <v>119.98</v>
      </c>
      <c r="O30" s="4">
        <f t="shared" ca="1" si="1"/>
        <v>46324.650590393518</v>
      </c>
      <c r="P30" s="5">
        <f t="shared" ca="1" si="2"/>
        <v>46324</v>
      </c>
      <c r="Q30" t="str">
        <f t="shared" si="3"/>
        <v>November</v>
      </c>
      <c r="R30">
        <f t="shared" si="4"/>
        <v>6</v>
      </c>
      <c r="T30">
        <v>29</v>
      </c>
      <c r="X30" t="str">
        <f t="shared" si="5"/>
        <v>HR</v>
      </c>
      <c r="AA30" t="str">
        <v>Harry Morgan</v>
      </c>
      <c r="AB30">
        <f t="shared" si="6"/>
        <v>5519.8899999999994</v>
      </c>
      <c r="AC30" t="str">
        <f t="shared" si="7"/>
        <v>high value</v>
      </c>
      <c r="AF30" t="str">
        <f t="shared" si="8"/>
        <v>no match</v>
      </c>
    </row>
    <row r="31" spans="1:32" ht="29" x14ac:dyDescent="0.35">
      <c r="A31" s="1" t="s">
        <v>170</v>
      </c>
      <c r="B31" s="2">
        <v>45427</v>
      </c>
      <c r="C31" s="1" t="s">
        <v>171</v>
      </c>
      <c r="D31" s="1" t="s">
        <v>172</v>
      </c>
      <c r="E31" s="1" t="s">
        <v>82</v>
      </c>
      <c r="F31" s="1" t="s">
        <v>83</v>
      </c>
      <c r="G31" s="1" t="s">
        <v>27</v>
      </c>
      <c r="H31" s="3">
        <v>4</v>
      </c>
      <c r="I31" s="26">
        <v>59.99</v>
      </c>
      <c r="J31" s="1" t="s">
        <v>105</v>
      </c>
      <c r="K31" s="1" t="s">
        <v>111</v>
      </c>
      <c r="L31" s="1" t="s">
        <v>85</v>
      </c>
      <c r="M31" s="2">
        <v>44867</v>
      </c>
      <c r="N31" s="25">
        <f t="shared" si="0"/>
        <v>239.96</v>
      </c>
      <c r="O31" s="4">
        <f t="shared" ca="1" si="1"/>
        <v>46324.650590393518</v>
      </c>
      <c r="P31" s="5">
        <f t="shared" ca="1" si="2"/>
        <v>46324</v>
      </c>
      <c r="Q31" t="str">
        <f t="shared" si="3"/>
        <v>December</v>
      </c>
      <c r="R31">
        <f t="shared" si="4"/>
        <v>18</v>
      </c>
      <c r="T31">
        <v>29</v>
      </c>
      <c r="X31" t="str">
        <f t="shared" si="5"/>
        <v>EM</v>
      </c>
      <c r="AA31" t="str">
        <v>Daniel King</v>
      </c>
      <c r="AB31">
        <f t="shared" si="6"/>
        <v>7309.7999999999993</v>
      </c>
      <c r="AC31" t="str">
        <f t="shared" si="7"/>
        <v>high value</v>
      </c>
      <c r="AF31" t="str">
        <f t="shared" si="8"/>
        <v>no match</v>
      </c>
    </row>
    <row r="32" spans="1:32" ht="29" x14ac:dyDescent="0.35">
      <c r="A32" s="1" t="s">
        <v>173</v>
      </c>
      <c r="B32" s="2">
        <v>45427</v>
      </c>
      <c r="C32" s="1" t="s">
        <v>103</v>
      </c>
      <c r="D32" s="1" t="s">
        <v>104</v>
      </c>
      <c r="E32" s="1" t="s">
        <v>174</v>
      </c>
      <c r="F32" s="1" t="s">
        <v>175</v>
      </c>
      <c r="G32" s="1" t="s">
        <v>29</v>
      </c>
      <c r="H32" s="3">
        <v>5</v>
      </c>
      <c r="I32" s="26">
        <v>199.99</v>
      </c>
      <c r="J32" s="1" t="s">
        <v>71</v>
      </c>
      <c r="K32" s="1" t="s">
        <v>52</v>
      </c>
      <c r="L32" s="1" t="s">
        <v>85</v>
      </c>
      <c r="M32" s="2">
        <v>44412</v>
      </c>
      <c r="N32" s="25">
        <f t="shared" si="0"/>
        <v>999.95</v>
      </c>
      <c r="O32" s="4">
        <f t="shared" ca="1" si="1"/>
        <v>46324.650590393518</v>
      </c>
      <c r="P32" s="5">
        <f t="shared" ca="1" si="2"/>
        <v>46324</v>
      </c>
      <c r="Q32" t="str">
        <f t="shared" si="3"/>
        <v>September</v>
      </c>
      <c r="R32">
        <f t="shared" si="4"/>
        <v>33</v>
      </c>
      <c r="T32">
        <v>15</v>
      </c>
      <c r="X32" t="str">
        <f t="shared" si="5"/>
        <v>CA</v>
      </c>
      <c r="AA32" t="str">
        <v>Sharon Butler</v>
      </c>
      <c r="AB32">
        <f t="shared" si="6"/>
        <v>5619.87</v>
      </c>
      <c r="AC32" t="str">
        <f t="shared" si="7"/>
        <v>high value</v>
      </c>
      <c r="AF32" t="str">
        <f t="shared" si="8"/>
        <v>no match</v>
      </c>
    </row>
    <row r="33" spans="1:32" ht="43.5" x14ac:dyDescent="0.35">
      <c r="A33" s="1" t="s">
        <v>176</v>
      </c>
      <c r="B33" s="2">
        <v>45428</v>
      </c>
      <c r="C33" s="1" t="s">
        <v>177</v>
      </c>
      <c r="D33" s="1" t="s">
        <v>178</v>
      </c>
      <c r="E33" s="1" t="s">
        <v>93</v>
      </c>
      <c r="F33" s="1" t="s">
        <v>94</v>
      </c>
      <c r="G33" s="1" t="s">
        <v>29</v>
      </c>
      <c r="H33" s="3">
        <v>2</v>
      </c>
      <c r="I33" s="26">
        <v>149.99</v>
      </c>
      <c r="J33" s="1" t="s">
        <v>77</v>
      </c>
      <c r="K33" s="1" t="s">
        <v>98</v>
      </c>
      <c r="L33" s="1" t="s">
        <v>73</v>
      </c>
      <c r="M33" s="2">
        <v>44823</v>
      </c>
      <c r="N33" s="25">
        <f t="shared" si="0"/>
        <v>299.98</v>
      </c>
      <c r="O33" s="4">
        <f t="shared" ca="1" si="1"/>
        <v>46324.650590393518</v>
      </c>
      <c r="P33" s="5">
        <f t="shared" ca="1" si="2"/>
        <v>46324</v>
      </c>
      <c r="Q33" t="str">
        <f t="shared" si="3"/>
        <v>October</v>
      </c>
      <c r="R33">
        <f t="shared" si="4"/>
        <v>19</v>
      </c>
      <c r="T33">
        <v>35</v>
      </c>
      <c r="X33" t="str">
        <f t="shared" si="5"/>
        <v>LA</v>
      </c>
      <c r="AA33" t="str">
        <v>Sarah Davis</v>
      </c>
      <c r="AB33">
        <f t="shared" si="6"/>
        <v>5499.81</v>
      </c>
      <c r="AC33" t="str">
        <f t="shared" si="7"/>
        <v>high value</v>
      </c>
      <c r="AF33" t="str">
        <f t="shared" si="8"/>
        <v>no match</v>
      </c>
    </row>
    <row r="34" spans="1:32" ht="29" x14ac:dyDescent="0.35">
      <c r="A34" s="1" t="s">
        <v>179</v>
      </c>
      <c r="B34" s="2">
        <v>45430</v>
      </c>
      <c r="C34" s="1" t="s">
        <v>180</v>
      </c>
      <c r="D34" s="1" t="s">
        <v>181</v>
      </c>
      <c r="E34" s="1" t="s">
        <v>93</v>
      </c>
      <c r="F34" s="1" t="s">
        <v>94</v>
      </c>
      <c r="G34" s="1" t="s">
        <v>29</v>
      </c>
      <c r="H34" s="3">
        <v>3</v>
      </c>
      <c r="I34" s="26">
        <v>149.99</v>
      </c>
      <c r="J34" s="1" t="s">
        <v>77</v>
      </c>
      <c r="K34" s="1" t="s">
        <v>98</v>
      </c>
      <c r="L34" s="1" t="s">
        <v>78</v>
      </c>
      <c r="M34" s="2">
        <v>45068</v>
      </c>
      <c r="N34" s="25">
        <f t="shared" si="0"/>
        <v>449.97</v>
      </c>
      <c r="O34" s="4">
        <f t="shared" ca="1" si="1"/>
        <v>46324.650590393518</v>
      </c>
      <c r="P34" s="5">
        <f t="shared" ca="1" si="2"/>
        <v>46324</v>
      </c>
      <c r="Q34" t="str">
        <f t="shared" si="3"/>
        <v>June</v>
      </c>
      <c r="R34">
        <f t="shared" si="4"/>
        <v>11</v>
      </c>
      <c r="T34">
        <v>35</v>
      </c>
      <c r="X34" t="str">
        <f t="shared" si="5"/>
        <v>EW</v>
      </c>
      <c r="AA34" t="str">
        <v>Betty Campbell</v>
      </c>
      <c r="AB34">
        <f t="shared" si="6"/>
        <v>5649.84</v>
      </c>
      <c r="AC34" t="str">
        <f t="shared" si="7"/>
        <v>high value</v>
      </c>
      <c r="AF34" t="str">
        <f t="shared" si="8"/>
        <v>no match</v>
      </c>
    </row>
    <row r="35" spans="1:32" ht="29" x14ac:dyDescent="0.35">
      <c r="A35" s="1" t="s">
        <v>182</v>
      </c>
      <c r="B35" s="2">
        <v>45432</v>
      </c>
      <c r="C35" s="1" t="s">
        <v>80</v>
      </c>
      <c r="D35" s="1" t="s">
        <v>81</v>
      </c>
      <c r="E35" s="1" t="s">
        <v>109</v>
      </c>
      <c r="F35" s="1" t="s">
        <v>110</v>
      </c>
      <c r="G35" s="1" t="s">
        <v>28</v>
      </c>
      <c r="H35" s="3">
        <v>1</v>
      </c>
      <c r="I35" s="26">
        <v>899.99</v>
      </c>
      <c r="J35" s="1" t="s">
        <v>77</v>
      </c>
      <c r="K35" s="1" t="s">
        <v>98</v>
      </c>
      <c r="L35" s="1" t="s">
        <v>78</v>
      </c>
      <c r="M35" s="2">
        <v>44578</v>
      </c>
      <c r="N35" s="25">
        <f t="shared" si="0"/>
        <v>899.99</v>
      </c>
      <c r="O35" s="4">
        <f t="shared" ca="1" si="1"/>
        <v>46324.650590393518</v>
      </c>
      <c r="P35" s="5">
        <f t="shared" ca="1" si="2"/>
        <v>46324</v>
      </c>
      <c r="Q35" t="str">
        <f t="shared" si="3"/>
        <v>February</v>
      </c>
      <c r="R35">
        <f t="shared" si="4"/>
        <v>28</v>
      </c>
      <c r="T35">
        <v>24</v>
      </c>
      <c r="X35" t="str">
        <f t="shared" si="5"/>
        <v>KS</v>
      </c>
      <c r="AA35" t="str">
        <v>Julie Foster</v>
      </c>
      <c r="AB35">
        <f t="shared" si="6"/>
        <v>239.96</v>
      </c>
      <c r="AC35" t="str">
        <f t="shared" si="7"/>
        <v>Regular</v>
      </c>
      <c r="AF35">
        <f t="shared" si="8"/>
        <v>899.99</v>
      </c>
    </row>
    <row r="36" spans="1:32" ht="29" x14ac:dyDescent="0.35">
      <c r="A36" s="1" t="s">
        <v>183</v>
      </c>
      <c r="B36" s="2">
        <v>45434</v>
      </c>
      <c r="C36" s="1" t="s">
        <v>147</v>
      </c>
      <c r="D36" s="1" t="s">
        <v>148</v>
      </c>
      <c r="E36" s="1" t="s">
        <v>153</v>
      </c>
      <c r="F36" s="1" t="s">
        <v>154</v>
      </c>
      <c r="G36" s="1" t="s">
        <v>29</v>
      </c>
      <c r="H36" s="3">
        <v>3</v>
      </c>
      <c r="I36" s="26">
        <v>299.99</v>
      </c>
      <c r="J36" s="1" t="s">
        <v>77</v>
      </c>
      <c r="K36" s="1" t="s">
        <v>111</v>
      </c>
      <c r="L36" s="1" t="s">
        <v>73</v>
      </c>
      <c r="M36" s="2">
        <v>44824</v>
      </c>
      <c r="N36" s="25">
        <f t="shared" si="0"/>
        <v>899.97</v>
      </c>
      <c r="O36" s="4">
        <f t="shared" ca="1" si="1"/>
        <v>46324.650590393518</v>
      </c>
      <c r="P36" s="5">
        <f t="shared" ca="1" si="2"/>
        <v>46324</v>
      </c>
      <c r="Q36" t="str">
        <f t="shared" si="3"/>
        <v>October</v>
      </c>
      <c r="R36">
        <f t="shared" si="4"/>
        <v>20</v>
      </c>
      <c r="T36">
        <v>26</v>
      </c>
      <c r="X36" t="str">
        <f t="shared" si="5"/>
        <v>PM</v>
      </c>
      <c r="AA36" t="str">
        <v>Raymond Ross</v>
      </c>
      <c r="AB36">
        <f t="shared" si="6"/>
        <v>3669.85</v>
      </c>
      <c r="AC36" t="str">
        <f t="shared" si="7"/>
        <v>Regular</v>
      </c>
      <c r="AF36" t="str">
        <f t="shared" si="8"/>
        <v>no match</v>
      </c>
    </row>
    <row r="37" spans="1:32" ht="43.5" x14ac:dyDescent="0.35">
      <c r="A37" s="1" t="s">
        <v>184</v>
      </c>
      <c r="B37" s="2">
        <v>45435</v>
      </c>
      <c r="C37" s="1" t="s">
        <v>177</v>
      </c>
      <c r="D37" s="1" t="s">
        <v>178</v>
      </c>
      <c r="E37" s="1" t="s">
        <v>162</v>
      </c>
      <c r="F37" s="1" t="s">
        <v>163</v>
      </c>
      <c r="G37" s="1" t="s">
        <v>27</v>
      </c>
      <c r="H37" s="3">
        <v>3</v>
      </c>
      <c r="I37" s="26">
        <v>79.989999999999995</v>
      </c>
      <c r="J37" s="1" t="s">
        <v>71</v>
      </c>
      <c r="K37" s="1" t="s">
        <v>52</v>
      </c>
      <c r="L37" s="1" t="s">
        <v>73</v>
      </c>
      <c r="M37" s="2">
        <v>45046</v>
      </c>
      <c r="N37" s="25">
        <f t="shared" si="0"/>
        <v>239.96999999999997</v>
      </c>
      <c r="O37" s="4">
        <f t="shared" ca="1" si="1"/>
        <v>46324.650590393518</v>
      </c>
      <c r="P37" s="5">
        <f t="shared" ca="1" si="2"/>
        <v>46324</v>
      </c>
      <c r="Q37" t="str">
        <f t="shared" si="3"/>
        <v>May</v>
      </c>
      <c r="R37">
        <f t="shared" si="4"/>
        <v>12</v>
      </c>
      <c r="T37">
        <v>14</v>
      </c>
      <c r="X37" t="str">
        <f t="shared" si="5"/>
        <v>LA</v>
      </c>
      <c r="AA37" t="str">
        <v>David Martinez</v>
      </c>
      <c r="AB37">
        <f t="shared" si="6"/>
        <v>1809.84</v>
      </c>
      <c r="AC37" t="str">
        <f t="shared" si="7"/>
        <v>Regular</v>
      </c>
      <c r="AF37" t="str">
        <f t="shared" si="8"/>
        <v>no match</v>
      </c>
    </row>
    <row r="38" spans="1:32" ht="29" x14ac:dyDescent="0.35">
      <c r="A38" s="1" t="s">
        <v>185</v>
      </c>
      <c r="B38" s="2">
        <v>45438</v>
      </c>
      <c r="C38" s="1" t="s">
        <v>186</v>
      </c>
      <c r="D38" s="1" t="s">
        <v>187</v>
      </c>
      <c r="E38" s="1" t="s">
        <v>174</v>
      </c>
      <c r="F38" s="1" t="s">
        <v>175</v>
      </c>
      <c r="G38" s="1" t="s">
        <v>29</v>
      </c>
      <c r="H38" s="3">
        <v>3</v>
      </c>
      <c r="I38" s="26">
        <v>199.99</v>
      </c>
      <c r="J38" s="1" t="s">
        <v>77</v>
      </c>
      <c r="K38" s="1" t="s">
        <v>89</v>
      </c>
      <c r="L38" s="1" t="s">
        <v>78</v>
      </c>
      <c r="M38" s="2">
        <v>45292</v>
      </c>
      <c r="N38" s="25">
        <f t="shared" si="0"/>
        <v>599.97</v>
      </c>
      <c r="O38" s="4">
        <f t="shared" ca="1" si="1"/>
        <v>46324.650590393518</v>
      </c>
      <c r="P38" s="5">
        <f t="shared" ca="1" si="2"/>
        <v>46324</v>
      </c>
      <c r="Q38" t="str">
        <f t="shared" si="3"/>
        <v>February</v>
      </c>
      <c r="R38">
        <f t="shared" si="4"/>
        <v>4</v>
      </c>
      <c r="T38">
        <v>15</v>
      </c>
      <c r="X38" t="str">
        <f t="shared" si="5"/>
        <v>ST</v>
      </c>
      <c r="AA38" t="str">
        <v>Margaret Wright</v>
      </c>
      <c r="AB38">
        <f t="shared" si="6"/>
        <v>2099.88</v>
      </c>
      <c r="AC38" t="str">
        <f t="shared" si="7"/>
        <v>Regular</v>
      </c>
      <c r="AF38" t="str">
        <f t="shared" si="8"/>
        <v>no match</v>
      </c>
    </row>
    <row r="39" spans="1:32" ht="29" x14ac:dyDescent="0.35">
      <c r="A39" s="1" t="s">
        <v>188</v>
      </c>
      <c r="B39" s="2">
        <v>45440</v>
      </c>
      <c r="C39" s="1" t="s">
        <v>189</v>
      </c>
      <c r="D39" s="1" t="s">
        <v>190</v>
      </c>
      <c r="E39" s="1" t="s">
        <v>128</v>
      </c>
      <c r="F39" s="1" t="s">
        <v>129</v>
      </c>
      <c r="G39" s="1" t="s">
        <v>28</v>
      </c>
      <c r="H39" s="3">
        <v>5</v>
      </c>
      <c r="I39" s="26">
        <v>699.99</v>
      </c>
      <c r="J39" s="1" t="s">
        <v>84</v>
      </c>
      <c r="K39" s="1" t="s">
        <v>98</v>
      </c>
      <c r="L39" s="1" t="s">
        <v>85</v>
      </c>
      <c r="M39" s="2">
        <v>44407</v>
      </c>
      <c r="N39" s="25">
        <f t="shared" si="0"/>
        <v>3499.95</v>
      </c>
      <c r="O39" s="4">
        <f t="shared" ca="1" si="1"/>
        <v>46324.650590393518</v>
      </c>
      <c r="P39" s="5">
        <f t="shared" ca="1" si="2"/>
        <v>46324</v>
      </c>
      <c r="Q39" t="str">
        <f t="shared" si="3"/>
        <v>August</v>
      </c>
      <c r="R39">
        <f t="shared" si="4"/>
        <v>33</v>
      </c>
      <c r="T39">
        <v>31</v>
      </c>
      <c r="X39" t="str">
        <f t="shared" si="5"/>
        <v>JT</v>
      </c>
      <c r="AA39" t="str">
        <v>Frank Torres</v>
      </c>
      <c r="AB39">
        <f t="shared" si="6"/>
        <v>1479.91</v>
      </c>
      <c r="AC39" t="str">
        <f t="shared" si="7"/>
        <v>Regular</v>
      </c>
      <c r="AF39" t="str">
        <f t="shared" si="8"/>
        <v>no match</v>
      </c>
    </row>
    <row r="40" spans="1:32" ht="29" x14ac:dyDescent="0.35">
      <c r="A40" s="1" t="s">
        <v>191</v>
      </c>
      <c r="B40" s="2">
        <v>45441</v>
      </c>
      <c r="C40" s="1" t="s">
        <v>192</v>
      </c>
      <c r="D40" s="1" t="s">
        <v>193</v>
      </c>
      <c r="E40" s="1" t="s">
        <v>165</v>
      </c>
      <c r="F40" s="1" t="s">
        <v>166</v>
      </c>
      <c r="G40" s="1" t="s">
        <v>28</v>
      </c>
      <c r="H40" s="3">
        <v>3</v>
      </c>
      <c r="I40" s="26">
        <v>89.99</v>
      </c>
      <c r="J40" s="1" t="s">
        <v>84</v>
      </c>
      <c r="K40" s="1" t="s">
        <v>72</v>
      </c>
      <c r="L40" s="1" t="s">
        <v>78</v>
      </c>
      <c r="M40" s="2">
        <v>45120</v>
      </c>
      <c r="N40" s="25">
        <f t="shared" si="0"/>
        <v>269.96999999999997</v>
      </c>
      <c r="O40" s="4">
        <f t="shared" ca="1" si="1"/>
        <v>46324.650590393518</v>
      </c>
      <c r="P40" s="5">
        <f t="shared" ca="1" si="2"/>
        <v>46324</v>
      </c>
      <c r="Q40" t="str">
        <f t="shared" si="3"/>
        <v>August</v>
      </c>
      <c r="R40">
        <f t="shared" si="4"/>
        <v>10</v>
      </c>
      <c r="T40">
        <v>34</v>
      </c>
      <c r="X40" t="str">
        <f t="shared" si="5"/>
        <v>HM</v>
      </c>
      <c r="AA40" t="str">
        <v>Gerald Murphy</v>
      </c>
      <c r="AB40">
        <f t="shared" si="6"/>
        <v>6379.87</v>
      </c>
      <c r="AC40" t="str">
        <f t="shared" si="7"/>
        <v>high value</v>
      </c>
      <c r="AF40" t="str">
        <f t="shared" si="8"/>
        <v>no match</v>
      </c>
    </row>
    <row r="41" spans="1:32" ht="29" x14ac:dyDescent="0.35">
      <c r="A41" s="1" t="s">
        <v>194</v>
      </c>
      <c r="B41" s="2">
        <v>45443</v>
      </c>
      <c r="C41" s="1" t="s">
        <v>195</v>
      </c>
      <c r="D41" s="1" t="s">
        <v>196</v>
      </c>
      <c r="E41" s="1" t="s">
        <v>162</v>
      </c>
      <c r="F41" s="1" t="s">
        <v>163</v>
      </c>
      <c r="G41" s="1" t="s">
        <v>27</v>
      </c>
      <c r="H41" s="3">
        <v>1</v>
      </c>
      <c r="I41" s="26">
        <v>79.989999999999995</v>
      </c>
      <c r="J41" s="1" t="s">
        <v>71</v>
      </c>
      <c r="K41" s="1" t="s">
        <v>89</v>
      </c>
      <c r="L41" s="1" t="s">
        <v>85</v>
      </c>
      <c r="M41" s="2">
        <v>44917</v>
      </c>
      <c r="N41" s="25">
        <f t="shared" si="0"/>
        <v>79.989999999999995</v>
      </c>
      <c r="O41" s="4">
        <f t="shared" ca="1" si="1"/>
        <v>46324.650590393518</v>
      </c>
      <c r="P41" s="5">
        <f t="shared" ca="1" si="2"/>
        <v>46324</v>
      </c>
      <c r="Q41" t="str">
        <f t="shared" si="3"/>
        <v>January</v>
      </c>
      <c r="R41">
        <f t="shared" si="4"/>
        <v>17</v>
      </c>
      <c r="T41">
        <v>14</v>
      </c>
      <c r="X41" t="str">
        <f t="shared" si="5"/>
        <v>DK</v>
      </c>
      <c r="AA41" t="str">
        <v>Elizabeth Hall</v>
      </c>
      <c r="AB41">
        <f t="shared" si="6"/>
        <v>3649.8599999999997</v>
      </c>
      <c r="AC41" t="str">
        <f t="shared" si="7"/>
        <v>Regular</v>
      </c>
      <c r="AF41">
        <f t="shared" si="8"/>
        <v>79.989999999999995</v>
      </c>
    </row>
    <row r="42" spans="1:32" ht="29" x14ac:dyDescent="0.35">
      <c r="A42" s="1" t="s">
        <v>197</v>
      </c>
      <c r="B42" s="2">
        <v>45444</v>
      </c>
      <c r="C42" s="1" t="s">
        <v>198</v>
      </c>
      <c r="D42" s="1" t="s">
        <v>199</v>
      </c>
      <c r="E42" s="1" t="s">
        <v>82</v>
      </c>
      <c r="F42" s="1" t="s">
        <v>83</v>
      </c>
      <c r="G42" s="1" t="s">
        <v>27</v>
      </c>
      <c r="H42" s="3">
        <v>2</v>
      </c>
      <c r="I42" s="26">
        <v>59.99</v>
      </c>
      <c r="J42" s="1" t="s">
        <v>71</v>
      </c>
      <c r="K42" s="1" t="s">
        <v>98</v>
      </c>
      <c r="L42" s="1" t="s">
        <v>73</v>
      </c>
      <c r="M42" s="2">
        <v>45390</v>
      </c>
      <c r="N42" s="25">
        <f t="shared" si="0"/>
        <v>119.98</v>
      </c>
      <c r="O42" s="4">
        <f t="shared" ca="1" si="1"/>
        <v>46324.650590393518</v>
      </c>
      <c r="P42" s="5">
        <f t="shared" ca="1" si="2"/>
        <v>46324</v>
      </c>
      <c r="Q42" t="str">
        <f t="shared" si="3"/>
        <v>May</v>
      </c>
      <c r="R42">
        <f t="shared" si="4"/>
        <v>1</v>
      </c>
      <c r="T42">
        <v>29</v>
      </c>
      <c r="X42" t="str">
        <f t="shared" si="5"/>
        <v>SB</v>
      </c>
      <c r="AA42" t="str">
        <v>Lawrence Reed</v>
      </c>
      <c r="AB42">
        <f t="shared" si="6"/>
        <v>6989.7699999999986</v>
      </c>
      <c r="AC42" t="str">
        <f t="shared" si="7"/>
        <v>high value</v>
      </c>
      <c r="AF42" t="str">
        <f t="shared" si="8"/>
        <v>no match</v>
      </c>
    </row>
    <row r="43" spans="1:32" ht="29" x14ac:dyDescent="0.35">
      <c r="A43" s="1" t="s">
        <v>200</v>
      </c>
      <c r="B43" s="2">
        <v>45444</v>
      </c>
      <c r="C43" s="1" t="s">
        <v>103</v>
      </c>
      <c r="D43" s="1" t="s">
        <v>104</v>
      </c>
      <c r="E43" s="1" t="s">
        <v>165</v>
      </c>
      <c r="F43" s="1" t="s">
        <v>166</v>
      </c>
      <c r="G43" s="1" t="s">
        <v>28</v>
      </c>
      <c r="H43" s="3">
        <v>1</v>
      </c>
      <c r="I43" s="26">
        <v>89.99</v>
      </c>
      <c r="J43" s="1" t="s">
        <v>71</v>
      </c>
      <c r="K43" s="1" t="s">
        <v>89</v>
      </c>
      <c r="L43" s="1" t="s">
        <v>73</v>
      </c>
      <c r="M43" s="2">
        <v>45141</v>
      </c>
      <c r="N43" s="25">
        <f t="shared" si="0"/>
        <v>89.99</v>
      </c>
      <c r="O43" s="4">
        <f t="shared" ca="1" si="1"/>
        <v>46324.650590393518</v>
      </c>
      <c r="P43" s="5">
        <f t="shared" ca="1" si="2"/>
        <v>46324</v>
      </c>
      <c r="Q43" t="str">
        <f t="shared" si="3"/>
        <v>September</v>
      </c>
      <c r="R43">
        <f t="shared" si="4"/>
        <v>9</v>
      </c>
      <c r="T43">
        <v>34</v>
      </c>
      <c r="X43" t="str">
        <f t="shared" si="5"/>
        <v>CA</v>
      </c>
      <c r="AA43" t="str">
        <v>Carol Evans</v>
      </c>
      <c r="AB43">
        <f t="shared" si="6"/>
        <v>1149.93</v>
      </c>
      <c r="AC43" t="str">
        <f t="shared" si="7"/>
        <v>Regular</v>
      </c>
      <c r="AF43">
        <f t="shared" si="8"/>
        <v>89.99</v>
      </c>
    </row>
    <row r="44" spans="1:32" ht="29" x14ac:dyDescent="0.35">
      <c r="A44" s="1" t="s">
        <v>201</v>
      </c>
      <c r="B44" s="2">
        <v>45446</v>
      </c>
      <c r="C44" s="1" t="s">
        <v>202</v>
      </c>
      <c r="D44" s="1" t="s">
        <v>203</v>
      </c>
      <c r="E44" s="1" t="s">
        <v>165</v>
      </c>
      <c r="F44" s="1" t="s">
        <v>166</v>
      </c>
      <c r="G44" s="1" t="s">
        <v>28</v>
      </c>
      <c r="H44" s="3">
        <v>5</v>
      </c>
      <c r="I44" s="26">
        <v>89.99</v>
      </c>
      <c r="J44" s="1" t="s">
        <v>77</v>
      </c>
      <c r="K44" s="1" t="s">
        <v>111</v>
      </c>
      <c r="L44" s="1" t="s">
        <v>85</v>
      </c>
      <c r="M44" s="2">
        <v>44587</v>
      </c>
      <c r="N44" s="25">
        <f t="shared" si="0"/>
        <v>449.95</v>
      </c>
      <c r="O44" s="4">
        <f t="shared" ca="1" si="1"/>
        <v>46324.650590393518</v>
      </c>
      <c r="P44" s="5">
        <f t="shared" ca="1" si="2"/>
        <v>46324</v>
      </c>
      <c r="Q44" t="str">
        <f t="shared" si="3"/>
        <v>February</v>
      </c>
      <c r="R44">
        <f t="shared" si="4"/>
        <v>28</v>
      </c>
      <c r="T44">
        <v>34</v>
      </c>
      <c r="X44" t="str">
        <f t="shared" si="5"/>
        <v>SD</v>
      </c>
      <c r="AA44" t="str">
        <v>Sandra Phillips</v>
      </c>
      <c r="AB44">
        <f t="shared" si="6"/>
        <v>6349.8300000000008</v>
      </c>
      <c r="AC44" t="str">
        <f t="shared" si="7"/>
        <v>high value</v>
      </c>
      <c r="AF44" t="str">
        <f t="shared" si="8"/>
        <v>no match</v>
      </c>
    </row>
    <row r="45" spans="1:32" ht="29" x14ac:dyDescent="0.35">
      <c r="A45" s="1" t="s">
        <v>204</v>
      </c>
      <c r="B45" s="2">
        <v>45449</v>
      </c>
      <c r="C45" s="1" t="s">
        <v>75</v>
      </c>
      <c r="D45" s="1" t="s">
        <v>76</v>
      </c>
      <c r="E45" s="1" t="s">
        <v>69</v>
      </c>
      <c r="F45" s="1" t="s">
        <v>70</v>
      </c>
      <c r="G45" s="1" t="s">
        <v>28</v>
      </c>
      <c r="H45" s="3">
        <v>5</v>
      </c>
      <c r="I45" s="26">
        <v>249.99</v>
      </c>
      <c r="J45" s="1" t="s">
        <v>77</v>
      </c>
      <c r="K45" s="1" t="s">
        <v>111</v>
      </c>
      <c r="L45" s="1" t="s">
        <v>85</v>
      </c>
      <c r="M45" s="2">
        <v>44707</v>
      </c>
      <c r="N45" s="25">
        <f t="shared" si="0"/>
        <v>1249.95</v>
      </c>
      <c r="O45" s="4">
        <f t="shared" ca="1" si="1"/>
        <v>46324.650590393518</v>
      </c>
      <c r="P45" s="5">
        <f t="shared" ca="1" si="2"/>
        <v>46324</v>
      </c>
      <c r="Q45" t="str">
        <f t="shared" si="3"/>
        <v>June</v>
      </c>
      <c r="R45">
        <f t="shared" si="4"/>
        <v>24</v>
      </c>
      <c r="T45">
        <v>26</v>
      </c>
      <c r="X45" t="str">
        <f t="shared" si="5"/>
        <v>JJ</v>
      </c>
      <c r="AA45" t="str">
        <v>Ruth Brooks</v>
      </c>
      <c r="AB45">
        <f t="shared" si="6"/>
        <v>1749.92</v>
      </c>
      <c r="AC45" t="str">
        <f t="shared" si="7"/>
        <v>Regular</v>
      </c>
      <c r="AF45" t="str">
        <f t="shared" si="8"/>
        <v>no match</v>
      </c>
    </row>
    <row r="46" spans="1:32" ht="29" x14ac:dyDescent="0.35">
      <c r="A46" s="1" t="s">
        <v>205</v>
      </c>
      <c r="B46" s="2">
        <v>45449</v>
      </c>
      <c r="C46" s="1" t="s">
        <v>206</v>
      </c>
      <c r="D46" s="1" t="s">
        <v>207</v>
      </c>
      <c r="E46" s="1" t="s">
        <v>165</v>
      </c>
      <c r="F46" s="1" t="s">
        <v>166</v>
      </c>
      <c r="G46" s="1" t="s">
        <v>28</v>
      </c>
      <c r="H46" s="3">
        <v>1</v>
      </c>
      <c r="I46" s="26">
        <v>89.99</v>
      </c>
      <c r="J46" s="1" t="s">
        <v>77</v>
      </c>
      <c r="K46" s="1" t="s">
        <v>52</v>
      </c>
      <c r="L46" s="1" t="s">
        <v>85</v>
      </c>
      <c r="M46" s="2">
        <v>44582</v>
      </c>
      <c r="N46" s="25">
        <f t="shared" si="0"/>
        <v>89.99</v>
      </c>
      <c r="O46" s="4">
        <f t="shared" ca="1" si="1"/>
        <v>46324.650590393518</v>
      </c>
      <c r="P46" s="5">
        <f t="shared" ca="1" si="2"/>
        <v>46324</v>
      </c>
      <c r="Q46" t="str">
        <f t="shared" si="3"/>
        <v>February</v>
      </c>
      <c r="R46">
        <f t="shared" si="4"/>
        <v>28</v>
      </c>
      <c r="T46">
        <v>34</v>
      </c>
      <c r="X46" t="str">
        <f t="shared" si="5"/>
        <v>BC</v>
      </c>
      <c r="AA46" t="str">
        <v>William White</v>
      </c>
      <c r="AB46">
        <f t="shared" si="6"/>
        <v>4749.91</v>
      </c>
      <c r="AC46" t="str">
        <f t="shared" si="7"/>
        <v>Regular</v>
      </c>
      <c r="AF46">
        <f t="shared" si="8"/>
        <v>89.99</v>
      </c>
    </row>
    <row r="47" spans="1:32" ht="29" x14ac:dyDescent="0.35">
      <c r="A47" s="1" t="s">
        <v>208</v>
      </c>
      <c r="B47" s="2">
        <v>45450</v>
      </c>
      <c r="C47" s="1" t="s">
        <v>91</v>
      </c>
      <c r="D47" s="1" t="s">
        <v>92</v>
      </c>
      <c r="E47" s="1" t="s">
        <v>93</v>
      </c>
      <c r="F47" s="1" t="s">
        <v>94</v>
      </c>
      <c r="G47" s="1" t="s">
        <v>29</v>
      </c>
      <c r="H47" s="3">
        <v>2</v>
      </c>
      <c r="I47" s="26">
        <v>149.99</v>
      </c>
      <c r="J47" s="1" t="s">
        <v>71</v>
      </c>
      <c r="K47" s="1" t="s">
        <v>111</v>
      </c>
      <c r="L47" s="1" t="s">
        <v>78</v>
      </c>
      <c r="M47" s="2">
        <v>44645</v>
      </c>
      <c r="N47" s="25">
        <f t="shared" si="0"/>
        <v>299.98</v>
      </c>
      <c r="O47" s="4">
        <f t="shared" ca="1" si="1"/>
        <v>46324.650590393518</v>
      </c>
      <c r="P47" s="5">
        <f t="shared" ca="1" si="2"/>
        <v>46324</v>
      </c>
      <c r="Q47" t="str">
        <f t="shared" si="3"/>
        <v>April</v>
      </c>
      <c r="R47">
        <f t="shared" si="4"/>
        <v>26</v>
      </c>
      <c r="T47">
        <v>35</v>
      </c>
      <c r="X47" t="str">
        <f t="shared" si="5"/>
        <v>MB</v>
      </c>
      <c r="AA47" t="str">
        <v>Richard Lee</v>
      </c>
      <c r="AB47">
        <f t="shared" si="6"/>
        <v>739.93000000000006</v>
      </c>
      <c r="AC47" t="str">
        <f t="shared" si="7"/>
        <v>Regular</v>
      </c>
      <c r="AF47" t="str">
        <f t="shared" si="8"/>
        <v>no match</v>
      </c>
    </row>
    <row r="48" spans="1:32" ht="29" x14ac:dyDescent="0.35">
      <c r="A48" s="1" t="s">
        <v>209</v>
      </c>
      <c r="B48" s="2">
        <v>45452</v>
      </c>
      <c r="C48" s="1" t="s">
        <v>210</v>
      </c>
      <c r="D48" s="1" t="s">
        <v>211</v>
      </c>
      <c r="E48" s="1" t="s">
        <v>82</v>
      </c>
      <c r="F48" s="1" t="s">
        <v>83</v>
      </c>
      <c r="G48" s="1" t="s">
        <v>27</v>
      </c>
      <c r="H48" s="3">
        <v>4</v>
      </c>
      <c r="I48" s="26">
        <v>59.99</v>
      </c>
      <c r="J48" s="1" t="s">
        <v>71</v>
      </c>
      <c r="K48" s="1" t="s">
        <v>111</v>
      </c>
      <c r="L48" s="1" t="s">
        <v>85</v>
      </c>
      <c r="M48" s="2">
        <v>44435</v>
      </c>
      <c r="N48" s="25">
        <f t="shared" si="0"/>
        <v>239.96</v>
      </c>
      <c r="O48" s="4">
        <f t="shared" ca="1" si="1"/>
        <v>46324.650590393518</v>
      </c>
      <c r="P48" s="5">
        <f t="shared" ca="1" si="2"/>
        <v>46324</v>
      </c>
      <c r="Q48" t="str">
        <f t="shared" si="3"/>
        <v>September</v>
      </c>
      <c r="R48">
        <f t="shared" si="4"/>
        <v>33</v>
      </c>
      <c r="T48">
        <v>29</v>
      </c>
      <c r="X48" t="str">
        <f t="shared" si="5"/>
        <v>JF</v>
      </c>
      <c r="AA48" t="str">
        <v>Douglas Watson</v>
      </c>
      <c r="AB48">
        <f t="shared" si="6"/>
        <v>4829.8900000000003</v>
      </c>
      <c r="AC48" t="str">
        <f t="shared" si="7"/>
        <v>Regular</v>
      </c>
      <c r="AF48" t="str">
        <f t="shared" si="8"/>
        <v>no match</v>
      </c>
    </row>
    <row r="49" spans="1:32" ht="43.5" x14ac:dyDescent="0.35">
      <c r="A49" s="1" t="s">
        <v>212</v>
      </c>
      <c r="B49" s="2">
        <v>45456</v>
      </c>
      <c r="C49" s="1" t="s">
        <v>177</v>
      </c>
      <c r="D49" s="1" t="s">
        <v>178</v>
      </c>
      <c r="E49" s="1" t="s">
        <v>165</v>
      </c>
      <c r="F49" s="1" t="s">
        <v>166</v>
      </c>
      <c r="G49" s="1" t="s">
        <v>28</v>
      </c>
      <c r="H49" s="3">
        <v>5</v>
      </c>
      <c r="I49" s="26">
        <v>89.99</v>
      </c>
      <c r="J49" s="1" t="s">
        <v>71</v>
      </c>
      <c r="K49" s="1" t="s">
        <v>72</v>
      </c>
      <c r="L49" s="1" t="s">
        <v>78</v>
      </c>
      <c r="M49" s="2">
        <v>44579</v>
      </c>
      <c r="N49" s="25">
        <f t="shared" si="0"/>
        <v>449.95</v>
      </c>
      <c r="O49" s="4">
        <f t="shared" ca="1" si="1"/>
        <v>46324.650590393518</v>
      </c>
      <c r="P49" s="5">
        <f t="shared" ca="1" si="2"/>
        <v>46324</v>
      </c>
      <c r="Q49" t="str">
        <f t="shared" si="3"/>
        <v>February</v>
      </c>
      <c r="R49">
        <f t="shared" si="4"/>
        <v>28</v>
      </c>
      <c r="T49">
        <v>34</v>
      </c>
      <c r="X49" t="str">
        <f t="shared" si="5"/>
        <v>LA</v>
      </c>
      <c r="AA49" t="str">
        <v>James Johnson</v>
      </c>
      <c r="AB49">
        <f t="shared" si="6"/>
        <v>179.97</v>
      </c>
      <c r="AC49" t="str">
        <f t="shared" si="7"/>
        <v>Regular</v>
      </c>
      <c r="AF49" t="str">
        <f t="shared" si="8"/>
        <v>no match</v>
      </c>
    </row>
    <row r="50" spans="1:32" ht="29" x14ac:dyDescent="0.35">
      <c r="A50" s="1" t="s">
        <v>213</v>
      </c>
      <c r="B50" s="2">
        <v>45459</v>
      </c>
      <c r="C50" s="1" t="s">
        <v>147</v>
      </c>
      <c r="D50" s="1" t="s">
        <v>148</v>
      </c>
      <c r="E50" s="1" t="s">
        <v>165</v>
      </c>
      <c r="F50" s="1" t="s">
        <v>166</v>
      </c>
      <c r="G50" s="1" t="s">
        <v>28</v>
      </c>
      <c r="H50" s="3">
        <v>2</v>
      </c>
      <c r="I50" s="26">
        <v>89.99</v>
      </c>
      <c r="J50" s="1" t="s">
        <v>77</v>
      </c>
      <c r="K50" s="1" t="s">
        <v>52</v>
      </c>
      <c r="L50" s="1" t="s">
        <v>78</v>
      </c>
      <c r="M50" s="2">
        <v>44471</v>
      </c>
      <c r="N50" s="25">
        <f t="shared" si="0"/>
        <v>179.98</v>
      </c>
      <c r="O50" s="4">
        <f t="shared" ca="1" si="1"/>
        <v>46324.650590393518</v>
      </c>
      <c r="P50" s="5">
        <f t="shared" ca="1" si="2"/>
        <v>46324</v>
      </c>
      <c r="Q50" t="str">
        <f t="shared" si="3"/>
        <v>November</v>
      </c>
      <c r="R50">
        <f t="shared" si="4"/>
        <v>32</v>
      </c>
      <c r="T50">
        <v>34</v>
      </c>
      <c r="X50" t="str">
        <f t="shared" si="5"/>
        <v>PM</v>
      </c>
      <c r="AA50" t="str">
        <v>Arthur Edwards</v>
      </c>
      <c r="AB50">
        <f t="shared" si="6"/>
        <v>1559.94</v>
      </c>
      <c r="AC50" t="str">
        <f t="shared" si="7"/>
        <v>Regular</v>
      </c>
      <c r="AF50" t="str">
        <f t="shared" si="8"/>
        <v>no match</v>
      </c>
    </row>
    <row r="51" spans="1:32" ht="29" x14ac:dyDescent="0.35">
      <c r="A51" s="1" t="s">
        <v>214</v>
      </c>
      <c r="B51" s="2">
        <v>45459</v>
      </c>
      <c r="C51" s="1" t="s">
        <v>67</v>
      </c>
      <c r="D51" s="1" t="s">
        <v>68</v>
      </c>
      <c r="E51" s="1" t="s">
        <v>109</v>
      </c>
      <c r="F51" s="1" t="s">
        <v>110</v>
      </c>
      <c r="G51" s="1" t="s">
        <v>28</v>
      </c>
      <c r="H51" s="3">
        <v>5</v>
      </c>
      <c r="I51" s="26">
        <v>899.99</v>
      </c>
      <c r="J51" s="1" t="s">
        <v>77</v>
      </c>
      <c r="K51" s="1" t="s">
        <v>52</v>
      </c>
      <c r="L51" s="1" t="s">
        <v>85</v>
      </c>
      <c r="M51" s="2">
        <v>44974</v>
      </c>
      <c r="N51" s="25">
        <f t="shared" si="0"/>
        <v>4499.95</v>
      </c>
      <c r="O51" s="4">
        <f t="shared" ca="1" si="1"/>
        <v>46324.650590393518</v>
      </c>
      <c r="P51" s="5">
        <f t="shared" ca="1" si="2"/>
        <v>46324</v>
      </c>
      <c r="Q51" t="str">
        <f t="shared" si="3"/>
        <v>March</v>
      </c>
      <c r="R51">
        <f t="shared" si="4"/>
        <v>15</v>
      </c>
      <c r="T51">
        <v>24</v>
      </c>
      <c r="X51" t="str">
        <f t="shared" si="5"/>
        <v>PB</v>
      </c>
      <c r="AA51" t="str">
        <v>John Smith</v>
      </c>
      <c r="AB51">
        <f t="shared" si="6"/>
        <v>599.96</v>
      </c>
      <c r="AC51" t="str">
        <f t="shared" si="7"/>
        <v>Regular</v>
      </c>
      <c r="AF51" t="str">
        <f t="shared" si="8"/>
        <v>no match</v>
      </c>
    </row>
    <row r="52" spans="1:32" ht="29" x14ac:dyDescent="0.35">
      <c r="A52" s="1" t="s">
        <v>215</v>
      </c>
      <c r="B52" s="2">
        <v>45459</v>
      </c>
      <c r="C52" s="1" t="s">
        <v>171</v>
      </c>
      <c r="D52" s="1" t="s">
        <v>172</v>
      </c>
      <c r="E52" s="1" t="s">
        <v>109</v>
      </c>
      <c r="F52" s="1" t="s">
        <v>110</v>
      </c>
      <c r="G52" s="1" t="s">
        <v>28</v>
      </c>
      <c r="H52" s="3">
        <v>5</v>
      </c>
      <c r="I52" s="26">
        <v>899.99</v>
      </c>
      <c r="J52" s="1" t="s">
        <v>84</v>
      </c>
      <c r="K52" s="1" t="s">
        <v>111</v>
      </c>
      <c r="L52" s="1" t="s">
        <v>78</v>
      </c>
      <c r="M52" s="2">
        <v>45278</v>
      </c>
      <c r="N52" s="25">
        <f t="shared" si="0"/>
        <v>4499.95</v>
      </c>
      <c r="O52" s="4">
        <f t="shared" ca="1" si="1"/>
        <v>46324.650590393518</v>
      </c>
      <c r="P52" s="5">
        <f t="shared" ca="1" si="2"/>
        <v>46324</v>
      </c>
      <c r="Q52" t="str">
        <f t="shared" si="3"/>
        <v>January</v>
      </c>
      <c r="R52">
        <f t="shared" si="4"/>
        <v>5</v>
      </c>
      <c r="T52">
        <v>24</v>
      </c>
      <c r="X52" t="str">
        <f t="shared" si="5"/>
        <v>EM</v>
      </c>
      <c r="AF52" t="str">
        <f t="shared" si="8"/>
        <v>no match</v>
      </c>
    </row>
    <row r="53" spans="1:32" ht="29" x14ac:dyDescent="0.35">
      <c r="A53" s="1" t="s">
        <v>216</v>
      </c>
      <c r="B53" s="2">
        <v>45460</v>
      </c>
      <c r="C53" s="1" t="s">
        <v>206</v>
      </c>
      <c r="D53" s="1" t="s">
        <v>207</v>
      </c>
      <c r="E53" s="1" t="s">
        <v>82</v>
      </c>
      <c r="F53" s="1" t="s">
        <v>83</v>
      </c>
      <c r="G53" s="1" t="s">
        <v>27</v>
      </c>
      <c r="H53" s="3">
        <v>1</v>
      </c>
      <c r="I53" s="26">
        <v>59.99</v>
      </c>
      <c r="J53" s="1" t="s">
        <v>105</v>
      </c>
      <c r="K53" s="1" t="s">
        <v>98</v>
      </c>
      <c r="L53" s="1" t="s">
        <v>78</v>
      </c>
      <c r="M53" s="2">
        <v>45190</v>
      </c>
      <c r="N53" s="25">
        <f t="shared" si="0"/>
        <v>59.99</v>
      </c>
      <c r="O53" s="4">
        <f t="shared" ca="1" si="1"/>
        <v>46324.650590393518</v>
      </c>
      <c r="P53" s="5">
        <f t="shared" ca="1" si="2"/>
        <v>46324</v>
      </c>
      <c r="Q53" t="str">
        <f t="shared" si="3"/>
        <v>October</v>
      </c>
      <c r="R53">
        <f t="shared" si="4"/>
        <v>8</v>
      </c>
      <c r="T53">
        <v>29</v>
      </c>
      <c r="X53" t="str">
        <f t="shared" si="5"/>
        <v>BC</v>
      </c>
      <c r="AF53">
        <f t="shared" si="8"/>
        <v>59.99</v>
      </c>
    </row>
    <row r="54" spans="1:32" ht="29" x14ac:dyDescent="0.35">
      <c r="A54" s="1" t="s">
        <v>217</v>
      </c>
      <c r="B54" s="2">
        <v>45460</v>
      </c>
      <c r="C54" s="1" t="s">
        <v>189</v>
      </c>
      <c r="D54" s="1" t="s">
        <v>190</v>
      </c>
      <c r="E54" s="1" t="s">
        <v>153</v>
      </c>
      <c r="F54" s="1" t="s">
        <v>154</v>
      </c>
      <c r="G54" s="1" t="s">
        <v>29</v>
      </c>
      <c r="H54" s="3">
        <v>2</v>
      </c>
      <c r="I54" s="26">
        <v>299.99</v>
      </c>
      <c r="J54" s="1" t="s">
        <v>105</v>
      </c>
      <c r="K54" s="1" t="s">
        <v>111</v>
      </c>
      <c r="L54" s="1" t="s">
        <v>85</v>
      </c>
      <c r="M54" s="2">
        <v>45253</v>
      </c>
      <c r="N54" s="25">
        <f t="shared" si="0"/>
        <v>599.98</v>
      </c>
      <c r="O54" s="4">
        <f t="shared" ca="1" si="1"/>
        <v>46324.650590393518</v>
      </c>
      <c r="P54" s="5">
        <f t="shared" ca="1" si="2"/>
        <v>46324</v>
      </c>
      <c r="Q54" t="str">
        <f t="shared" si="3"/>
        <v>December</v>
      </c>
      <c r="R54">
        <f t="shared" si="4"/>
        <v>6</v>
      </c>
      <c r="T54">
        <v>26</v>
      </c>
      <c r="X54" t="str">
        <f t="shared" si="5"/>
        <v>JT</v>
      </c>
      <c r="AF54" t="str">
        <f t="shared" si="8"/>
        <v>no match</v>
      </c>
    </row>
    <row r="55" spans="1:32" ht="29" x14ac:dyDescent="0.35">
      <c r="A55" s="1" t="s">
        <v>218</v>
      </c>
      <c r="B55" s="2">
        <v>45468</v>
      </c>
      <c r="C55" s="1" t="s">
        <v>219</v>
      </c>
      <c r="D55" s="1" t="s">
        <v>220</v>
      </c>
      <c r="E55" s="1" t="s">
        <v>165</v>
      </c>
      <c r="F55" s="1" t="s">
        <v>166</v>
      </c>
      <c r="G55" s="1" t="s">
        <v>28</v>
      </c>
      <c r="H55" s="3">
        <v>4</v>
      </c>
      <c r="I55" s="26">
        <v>89.99</v>
      </c>
      <c r="J55" s="1" t="s">
        <v>105</v>
      </c>
      <c r="K55" s="1" t="s">
        <v>52</v>
      </c>
      <c r="L55" s="1" t="s">
        <v>73</v>
      </c>
      <c r="M55" s="2">
        <v>45281</v>
      </c>
      <c r="N55" s="25">
        <f t="shared" si="0"/>
        <v>359.96</v>
      </c>
      <c r="O55" s="4">
        <f t="shared" ca="1" si="1"/>
        <v>46324.650590393518</v>
      </c>
      <c r="P55" s="5">
        <f t="shared" ca="1" si="2"/>
        <v>46324</v>
      </c>
      <c r="Q55" t="str">
        <f t="shared" si="3"/>
        <v>January</v>
      </c>
      <c r="R55">
        <f t="shared" si="4"/>
        <v>6</v>
      </c>
      <c r="T55">
        <v>34</v>
      </c>
      <c r="X55" t="str">
        <f t="shared" si="5"/>
        <v>RR</v>
      </c>
      <c r="AF55" t="str">
        <f t="shared" si="8"/>
        <v>no match</v>
      </c>
    </row>
    <row r="56" spans="1:32" ht="29" x14ac:dyDescent="0.35">
      <c r="A56" s="1" t="s">
        <v>221</v>
      </c>
      <c r="B56" s="2">
        <v>45469</v>
      </c>
      <c r="C56" s="1" t="s">
        <v>80</v>
      </c>
      <c r="D56" s="1" t="s">
        <v>81</v>
      </c>
      <c r="E56" s="1" t="s">
        <v>162</v>
      </c>
      <c r="F56" s="1" t="s">
        <v>163</v>
      </c>
      <c r="G56" s="1" t="s">
        <v>27</v>
      </c>
      <c r="H56" s="3">
        <v>1</v>
      </c>
      <c r="I56" s="26">
        <v>79.989999999999995</v>
      </c>
      <c r="J56" s="1" t="s">
        <v>84</v>
      </c>
      <c r="K56" s="1" t="s">
        <v>72</v>
      </c>
      <c r="L56" s="1" t="s">
        <v>78</v>
      </c>
      <c r="M56" s="2">
        <v>45352</v>
      </c>
      <c r="N56" s="25">
        <f t="shared" si="0"/>
        <v>79.989999999999995</v>
      </c>
      <c r="O56" s="4">
        <f t="shared" ca="1" si="1"/>
        <v>46324.650590393518</v>
      </c>
      <c r="P56" s="5">
        <f t="shared" ca="1" si="2"/>
        <v>46324</v>
      </c>
      <c r="Q56" t="str">
        <f t="shared" si="3"/>
        <v>April</v>
      </c>
      <c r="R56">
        <f t="shared" si="4"/>
        <v>3</v>
      </c>
      <c r="T56">
        <v>14</v>
      </c>
      <c r="X56" t="str">
        <f t="shared" si="5"/>
        <v>KS</v>
      </c>
      <c r="AF56">
        <f t="shared" si="8"/>
        <v>79.989999999999995</v>
      </c>
    </row>
    <row r="57" spans="1:32" ht="29" x14ac:dyDescent="0.35">
      <c r="A57" s="1" t="s">
        <v>222</v>
      </c>
      <c r="B57" s="2">
        <v>45469</v>
      </c>
      <c r="C57" s="1" t="s">
        <v>107</v>
      </c>
      <c r="D57" s="1" t="s">
        <v>108</v>
      </c>
      <c r="E57" s="1" t="s">
        <v>165</v>
      </c>
      <c r="F57" s="1" t="s">
        <v>166</v>
      </c>
      <c r="G57" s="1" t="s">
        <v>28</v>
      </c>
      <c r="H57" s="3">
        <v>2</v>
      </c>
      <c r="I57" s="26">
        <v>89.99</v>
      </c>
      <c r="J57" s="1" t="s">
        <v>71</v>
      </c>
      <c r="K57" s="1" t="s">
        <v>98</v>
      </c>
      <c r="L57" s="1" t="s">
        <v>73</v>
      </c>
      <c r="M57" s="2">
        <v>44438</v>
      </c>
      <c r="N57" s="25">
        <f t="shared" si="0"/>
        <v>179.98</v>
      </c>
      <c r="O57" s="4">
        <f t="shared" ca="1" si="1"/>
        <v>46324.650590393518</v>
      </c>
      <c r="P57" s="5">
        <f t="shared" ca="1" si="2"/>
        <v>46324</v>
      </c>
      <c r="Q57" t="str">
        <f t="shared" si="3"/>
        <v>September</v>
      </c>
      <c r="R57">
        <f t="shared" si="4"/>
        <v>33</v>
      </c>
      <c r="T57">
        <v>34</v>
      </c>
      <c r="X57" t="str">
        <f t="shared" si="5"/>
        <v>RT</v>
      </c>
      <c r="AF57" t="str">
        <f t="shared" si="8"/>
        <v>no match</v>
      </c>
    </row>
    <row r="58" spans="1:32" ht="29" x14ac:dyDescent="0.35">
      <c r="A58" s="1" t="s">
        <v>223</v>
      </c>
      <c r="B58" s="2">
        <v>45471</v>
      </c>
      <c r="C58" s="1" t="s">
        <v>87</v>
      </c>
      <c r="D58" s="1" t="s">
        <v>88</v>
      </c>
      <c r="E58" s="1" t="s">
        <v>128</v>
      </c>
      <c r="F58" s="1" t="s">
        <v>129</v>
      </c>
      <c r="G58" s="1" t="s">
        <v>28</v>
      </c>
      <c r="H58" s="3">
        <v>3</v>
      </c>
      <c r="I58" s="26">
        <v>699.99</v>
      </c>
      <c r="J58" s="1" t="s">
        <v>77</v>
      </c>
      <c r="K58" s="1" t="s">
        <v>111</v>
      </c>
      <c r="L58" s="1" t="s">
        <v>78</v>
      </c>
      <c r="M58" s="2">
        <v>45102</v>
      </c>
      <c r="N58" s="25">
        <f t="shared" si="0"/>
        <v>2099.9700000000003</v>
      </c>
      <c r="O58" s="4">
        <f t="shared" ca="1" si="1"/>
        <v>46324.650590393518</v>
      </c>
      <c r="P58" s="5">
        <f t="shared" ca="1" si="2"/>
        <v>46324</v>
      </c>
      <c r="Q58" t="str">
        <f t="shared" si="3"/>
        <v>July</v>
      </c>
      <c r="R58">
        <f t="shared" si="4"/>
        <v>12</v>
      </c>
      <c r="T58">
        <v>31</v>
      </c>
      <c r="X58" t="str">
        <f t="shared" si="5"/>
        <v>KB</v>
      </c>
      <c r="AF58" t="str">
        <f t="shared" si="8"/>
        <v>no match</v>
      </c>
    </row>
    <row r="59" spans="1:32" ht="29" x14ac:dyDescent="0.35">
      <c r="A59" s="1" t="s">
        <v>224</v>
      </c>
      <c r="B59" s="2">
        <v>45471</v>
      </c>
      <c r="C59" s="1" t="s">
        <v>147</v>
      </c>
      <c r="D59" s="1" t="s">
        <v>148</v>
      </c>
      <c r="E59" s="1" t="s">
        <v>109</v>
      </c>
      <c r="F59" s="1" t="s">
        <v>110</v>
      </c>
      <c r="G59" s="1" t="s">
        <v>28</v>
      </c>
      <c r="H59" s="3">
        <v>4</v>
      </c>
      <c r="I59" s="26">
        <v>899.99</v>
      </c>
      <c r="J59" s="1" t="s">
        <v>77</v>
      </c>
      <c r="K59" s="1" t="s">
        <v>111</v>
      </c>
      <c r="L59" s="1" t="s">
        <v>78</v>
      </c>
      <c r="M59" s="2">
        <v>44993</v>
      </c>
      <c r="N59" s="25">
        <f t="shared" si="0"/>
        <v>3599.96</v>
      </c>
      <c r="O59" s="4">
        <f t="shared" ca="1" si="1"/>
        <v>46324.650590393518</v>
      </c>
      <c r="P59" s="5">
        <f t="shared" ca="1" si="2"/>
        <v>46324</v>
      </c>
      <c r="Q59" t="str">
        <f t="shared" si="3"/>
        <v>April</v>
      </c>
      <c r="R59">
        <f t="shared" si="4"/>
        <v>15</v>
      </c>
      <c r="T59">
        <v>24</v>
      </c>
      <c r="X59" t="str">
        <f t="shared" si="5"/>
        <v>PM</v>
      </c>
      <c r="AF59" t="str">
        <f t="shared" si="8"/>
        <v>no match</v>
      </c>
    </row>
    <row r="60" spans="1:32" ht="29" x14ac:dyDescent="0.35">
      <c r="A60" s="1" t="s">
        <v>225</v>
      </c>
      <c r="B60" s="2">
        <v>45472</v>
      </c>
      <c r="C60" s="1" t="s">
        <v>168</v>
      </c>
      <c r="D60" s="1" t="s">
        <v>169</v>
      </c>
      <c r="E60" s="1" t="s">
        <v>93</v>
      </c>
      <c r="F60" s="1" t="s">
        <v>94</v>
      </c>
      <c r="G60" s="1" t="s">
        <v>29</v>
      </c>
      <c r="H60" s="3">
        <v>1</v>
      </c>
      <c r="I60" s="26">
        <v>149.99</v>
      </c>
      <c r="J60" s="1" t="s">
        <v>84</v>
      </c>
      <c r="K60" s="1" t="s">
        <v>111</v>
      </c>
      <c r="L60" s="1" t="s">
        <v>73</v>
      </c>
      <c r="M60" s="2">
        <v>44851</v>
      </c>
      <c r="N60" s="25">
        <f t="shared" si="0"/>
        <v>149.99</v>
      </c>
      <c r="O60" s="4">
        <f t="shared" ca="1" si="1"/>
        <v>46324.650590393518</v>
      </c>
      <c r="P60" s="5">
        <f t="shared" ca="1" si="2"/>
        <v>46324</v>
      </c>
      <c r="Q60" t="str">
        <f t="shared" si="3"/>
        <v>November</v>
      </c>
      <c r="R60">
        <f t="shared" si="4"/>
        <v>20</v>
      </c>
      <c r="T60">
        <v>35</v>
      </c>
      <c r="X60" t="str">
        <f t="shared" si="5"/>
        <v>HR</v>
      </c>
      <c r="AF60">
        <f t="shared" si="8"/>
        <v>149.99</v>
      </c>
    </row>
    <row r="61" spans="1:32" ht="29" x14ac:dyDescent="0.35">
      <c r="A61" s="1" t="s">
        <v>226</v>
      </c>
      <c r="B61" s="2">
        <v>45474</v>
      </c>
      <c r="C61" s="1" t="s">
        <v>180</v>
      </c>
      <c r="D61" s="1" t="s">
        <v>181</v>
      </c>
      <c r="E61" s="1" t="s">
        <v>165</v>
      </c>
      <c r="F61" s="1" t="s">
        <v>166</v>
      </c>
      <c r="G61" s="1" t="s">
        <v>28</v>
      </c>
      <c r="H61" s="3">
        <v>2</v>
      </c>
      <c r="I61" s="26">
        <v>89.99</v>
      </c>
      <c r="J61" s="1" t="s">
        <v>84</v>
      </c>
      <c r="K61" s="1" t="s">
        <v>72</v>
      </c>
      <c r="L61" s="1" t="s">
        <v>78</v>
      </c>
      <c r="M61" s="2">
        <v>45275</v>
      </c>
      <c r="N61" s="25">
        <f t="shared" si="0"/>
        <v>179.98</v>
      </c>
      <c r="O61" s="4">
        <f t="shared" ca="1" si="1"/>
        <v>46324.650590393518</v>
      </c>
      <c r="P61" s="5">
        <f t="shared" ca="1" si="2"/>
        <v>46324</v>
      </c>
      <c r="Q61" t="str">
        <f t="shared" si="3"/>
        <v>January</v>
      </c>
      <c r="R61">
        <f t="shared" si="4"/>
        <v>6</v>
      </c>
      <c r="T61">
        <v>34</v>
      </c>
      <c r="X61" t="str">
        <f t="shared" si="5"/>
        <v>EW</v>
      </c>
      <c r="AF61" t="str">
        <f t="shared" si="8"/>
        <v>no match</v>
      </c>
    </row>
    <row r="62" spans="1:32" ht="29" x14ac:dyDescent="0.35">
      <c r="A62" s="1" t="s">
        <v>227</v>
      </c>
      <c r="B62" s="2">
        <v>45475</v>
      </c>
      <c r="C62" s="1" t="s">
        <v>103</v>
      </c>
      <c r="D62" s="1" t="s">
        <v>104</v>
      </c>
      <c r="E62" s="1" t="s">
        <v>165</v>
      </c>
      <c r="F62" s="1" t="s">
        <v>166</v>
      </c>
      <c r="G62" s="1" t="s">
        <v>28</v>
      </c>
      <c r="H62" s="3">
        <v>1</v>
      </c>
      <c r="I62" s="26">
        <v>89.99</v>
      </c>
      <c r="J62" s="1" t="s">
        <v>84</v>
      </c>
      <c r="K62" s="1" t="s">
        <v>98</v>
      </c>
      <c r="L62" s="1" t="s">
        <v>85</v>
      </c>
      <c r="M62" s="2">
        <v>44802</v>
      </c>
      <c r="N62" s="25">
        <f t="shared" si="0"/>
        <v>89.99</v>
      </c>
      <c r="O62" s="4">
        <f t="shared" ca="1" si="1"/>
        <v>46324.650590393518</v>
      </c>
      <c r="P62" s="5">
        <f t="shared" ca="1" si="2"/>
        <v>46324</v>
      </c>
      <c r="Q62" t="str">
        <f t="shared" si="3"/>
        <v>September</v>
      </c>
      <c r="R62">
        <f t="shared" si="4"/>
        <v>22</v>
      </c>
      <c r="T62">
        <v>34</v>
      </c>
      <c r="X62" t="str">
        <f t="shared" si="5"/>
        <v>CA</v>
      </c>
      <c r="AF62">
        <f t="shared" si="8"/>
        <v>89.99</v>
      </c>
    </row>
    <row r="63" spans="1:32" ht="29" x14ac:dyDescent="0.35">
      <c r="A63" s="1" t="s">
        <v>228</v>
      </c>
      <c r="B63" s="2">
        <v>45476</v>
      </c>
      <c r="C63" s="1" t="s">
        <v>116</v>
      </c>
      <c r="D63" s="1" t="s">
        <v>117</v>
      </c>
      <c r="E63" s="1" t="s">
        <v>165</v>
      </c>
      <c r="F63" s="1" t="s">
        <v>166</v>
      </c>
      <c r="G63" s="1" t="s">
        <v>28</v>
      </c>
      <c r="H63" s="3">
        <v>1</v>
      </c>
      <c r="I63" s="26">
        <v>89.99</v>
      </c>
      <c r="J63" s="1" t="s">
        <v>71</v>
      </c>
      <c r="K63" s="1" t="s">
        <v>52</v>
      </c>
      <c r="L63" s="1" t="s">
        <v>85</v>
      </c>
      <c r="M63" s="2">
        <v>44611</v>
      </c>
      <c r="N63" s="25">
        <f t="shared" si="0"/>
        <v>89.99</v>
      </c>
      <c r="O63" s="4">
        <f t="shared" ca="1" si="1"/>
        <v>46324.650590393518</v>
      </c>
      <c r="P63" s="5">
        <f t="shared" ca="1" si="2"/>
        <v>46324</v>
      </c>
      <c r="Q63" t="str">
        <f t="shared" si="3"/>
        <v>March</v>
      </c>
      <c r="R63">
        <f t="shared" si="4"/>
        <v>28</v>
      </c>
      <c r="T63">
        <v>34</v>
      </c>
      <c r="X63" t="str">
        <f t="shared" si="5"/>
        <v>SG</v>
      </c>
      <c r="AF63">
        <f t="shared" si="8"/>
        <v>89.99</v>
      </c>
    </row>
    <row r="64" spans="1:32" ht="29" x14ac:dyDescent="0.35">
      <c r="A64" s="1" t="s">
        <v>229</v>
      </c>
      <c r="B64" s="2">
        <v>45476</v>
      </c>
      <c r="C64" s="1" t="s">
        <v>230</v>
      </c>
      <c r="D64" s="1" t="s">
        <v>231</v>
      </c>
      <c r="E64" s="1" t="s">
        <v>162</v>
      </c>
      <c r="F64" s="1" t="s">
        <v>163</v>
      </c>
      <c r="G64" s="1" t="s">
        <v>27</v>
      </c>
      <c r="H64" s="3">
        <v>5</v>
      </c>
      <c r="I64" s="26">
        <v>79.989999999999995</v>
      </c>
      <c r="J64" s="1" t="s">
        <v>105</v>
      </c>
      <c r="K64" s="1" t="s">
        <v>72</v>
      </c>
      <c r="L64" s="1" t="s">
        <v>73</v>
      </c>
      <c r="M64" s="2">
        <v>44981</v>
      </c>
      <c r="N64" s="25">
        <f t="shared" si="0"/>
        <v>399.95</v>
      </c>
      <c r="O64" s="4">
        <f t="shared" ca="1" si="1"/>
        <v>46324.650590393518</v>
      </c>
      <c r="P64" s="5">
        <f t="shared" ca="1" si="2"/>
        <v>46324</v>
      </c>
      <c r="Q64" t="str">
        <f t="shared" si="3"/>
        <v>March</v>
      </c>
      <c r="R64">
        <f t="shared" si="4"/>
        <v>16</v>
      </c>
      <c r="T64">
        <v>14</v>
      </c>
      <c r="X64" t="str">
        <f t="shared" si="5"/>
        <v>DM</v>
      </c>
      <c r="AF64" t="str">
        <f t="shared" si="8"/>
        <v>no match</v>
      </c>
    </row>
    <row r="65" spans="1:32" ht="29" x14ac:dyDescent="0.35">
      <c r="A65" s="1" t="s">
        <v>232</v>
      </c>
      <c r="B65" s="2">
        <v>45481</v>
      </c>
      <c r="C65" s="1" t="s">
        <v>233</v>
      </c>
      <c r="D65" s="1" t="s">
        <v>234</v>
      </c>
      <c r="E65" s="1" t="s">
        <v>93</v>
      </c>
      <c r="F65" s="1" t="s">
        <v>94</v>
      </c>
      <c r="G65" s="1" t="s">
        <v>29</v>
      </c>
      <c r="H65" s="3">
        <v>1</v>
      </c>
      <c r="I65" s="26">
        <v>149.99</v>
      </c>
      <c r="J65" s="1" t="s">
        <v>84</v>
      </c>
      <c r="K65" s="1" t="s">
        <v>89</v>
      </c>
      <c r="L65" s="1" t="s">
        <v>73</v>
      </c>
      <c r="M65" s="2">
        <v>44421</v>
      </c>
      <c r="N65" s="25">
        <f t="shared" si="0"/>
        <v>149.99</v>
      </c>
      <c r="O65" s="4">
        <f t="shared" ca="1" si="1"/>
        <v>46324.650590393518</v>
      </c>
      <c r="P65" s="5">
        <f t="shared" ca="1" si="2"/>
        <v>46324</v>
      </c>
      <c r="Q65" t="str">
        <f t="shared" si="3"/>
        <v>September</v>
      </c>
      <c r="R65">
        <f t="shared" si="4"/>
        <v>34</v>
      </c>
      <c r="T65">
        <v>35</v>
      </c>
      <c r="X65" t="str">
        <f t="shared" si="5"/>
        <v>MW</v>
      </c>
      <c r="AF65">
        <f t="shared" si="8"/>
        <v>149.99</v>
      </c>
    </row>
    <row r="66" spans="1:32" ht="29" x14ac:dyDescent="0.35">
      <c r="A66" s="1" t="s">
        <v>235</v>
      </c>
      <c r="B66" s="2">
        <v>45481</v>
      </c>
      <c r="C66" s="1" t="s">
        <v>91</v>
      </c>
      <c r="D66" s="1" t="s">
        <v>92</v>
      </c>
      <c r="E66" s="1" t="s">
        <v>128</v>
      </c>
      <c r="F66" s="1" t="s">
        <v>129</v>
      </c>
      <c r="G66" s="1" t="s">
        <v>28</v>
      </c>
      <c r="H66" s="3">
        <v>2</v>
      </c>
      <c r="I66" s="26">
        <v>699.99</v>
      </c>
      <c r="J66" s="1" t="s">
        <v>84</v>
      </c>
      <c r="K66" s="1" t="s">
        <v>111</v>
      </c>
      <c r="L66" s="1" t="s">
        <v>78</v>
      </c>
      <c r="M66" s="2">
        <v>45389</v>
      </c>
      <c r="N66" s="25">
        <f t="shared" si="0"/>
        <v>1399.98</v>
      </c>
      <c r="O66" s="4">
        <f t="shared" ca="1" si="1"/>
        <v>46324.650590393518</v>
      </c>
      <c r="P66" s="5">
        <f t="shared" ca="1" si="2"/>
        <v>46324</v>
      </c>
      <c r="Q66" t="str">
        <f t="shared" si="3"/>
        <v>May</v>
      </c>
      <c r="R66">
        <f t="shared" si="4"/>
        <v>3</v>
      </c>
      <c r="T66">
        <v>31</v>
      </c>
      <c r="X66" t="str">
        <f t="shared" si="5"/>
        <v>MB</v>
      </c>
      <c r="AF66" t="str">
        <f t="shared" si="8"/>
        <v>no match</v>
      </c>
    </row>
    <row r="67" spans="1:32" ht="29" x14ac:dyDescent="0.35">
      <c r="A67" s="1" t="s">
        <v>236</v>
      </c>
      <c r="B67" s="2">
        <v>45481</v>
      </c>
      <c r="C67" s="1" t="s">
        <v>144</v>
      </c>
      <c r="D67" s="1" t="s">
        <v>145</v>
      </c>
      <c r="E67" s="1" t="s">
        <v>165</v>
      </c>
      <c r="F67" s="1" t="s">
        <v>166</v>
      </c>
      <c r="G67" s="1" t="s">
        <v>28</v>
      </c>
      <c r="H67" s="3">
        <v>5</v>
      </c>
      <c r="I67" s="26">
        <v>89.99</v>
      </c>
      <c r="J67" s="1" t="s">
        <v>105</v>
      </c>
      <c r="K67" s="1" t="s">
        <v>89</v>
      </c>
      <c r="L67" s="1" t="s">
        <v>78</v>
      </c>
      <c r="M67" s="2">
        <v>45161</v>
      </c>
      <c r="N67" s="25">
        <f t="shared" ref="N67:N130" si="9">I67*H67</f>
        <v>449.95</v>
      </c>
      <c r="O67" s="4">
        <f t="shared" ref="O67:O130" ca="1" si="10">NOW()</f>
        <v>46324.650590393518</v>
      </c>
      <c r="P67" s="5">
        <f t="shared" ref="P67:P130" ca="1" si="11">TODAY()</f>
        <v>46324</v>
      </c>
      <c r="Q67" t="str">
        <f t="shared" ref="Q67:Q130" si="12">TEXT(EOMONTH(M67,1),"mmmm")</f>
        <v>September</v>
      </c>
      <c r="R67">
        <f t="shared" ref="R67:R130" si="13">DATEDIF(M67,B67,"M")</f>
        <v>10</v>
      </c>
      <c r="T67">
        <v>34</v>
      </c>
      <c r="X67" t="str">
        <f t="shared" ref="X67:X130" si="14">LEFT(D67,1)&amp;MID(D67,FIND(" ",D67)+1,1)</f>
        <v>BY</v>
      </c>
      <c r="AF67" t="str">
        <f t="shared" ref="AF67:AF130" si="15">IF(I67=N67,I67,"no match")</f>
        <v>no match</v>
      </c>
    </row>
    <row r="68" spans="1:32" ht="29" x14ac:dyDescent="0.35">
      <c r="A68" s="1" t="s">
        <v>237</v>
      </c>
      <c r="B68" s="2">
        <v>45482</v>
      </c>
      <c r="C68" s="1" t="s">
        <v>219</v>
      </c>
      <c r="D68" s="1" t="s">
        <v>220</v>
      </c>
      <c r="E68" s="1" t="s">
        <v>82</v>
      </c>
      <c r="F68" s="1" t="s">
        <v>83</v>
      </c>
      <c r="G68" s="1" t="s">
        <v>27</v>
      </c>
      <c r="H68" s="3">
        <v>4</v>
      </c>
      <c r="I68" s="26">
        <v>59.99</v>
      </c>
      <c r="J68" s="1" t="s">
        <v>71</v>
      </c>
      <c r="K68" s="1" t="s">
        <v>52</v>
      </c>
      <c r="L68" s="1" t="s">
        <v>85</v>
      </c>
      <c r="M68" s="2">
        <v>44509</v>
      </c>
      <c r="N68" s="25">
        <f t="shared" si="9"/>
        <v>239.96</v>
      </c>
      <c r="O68" s="4">
        <f t="shared" ca="1" si="10"/>
        <v>46324.650590393518</v>
      </c>
      <c r="P68" s="5">
        <f t="shared" ca="1" si="11"/>
        <v>46324</v>
      </c>
      <c r="Q68" t="str">
        <f t="shared" si="12"/>
        <v>December</v>
      </c>
      <c r="R68">
        <f t="shared" si="13"/>
        <v>32</v>
      </c>
      <c r="T68">
        <v>29</v>
      </c>
      <c r="X68" t="str">
        <f t="shared" si="14"/>
        <v>RR</v>
      </c>
      <c r="AF68" t="str">
        <f t="shared" si="15"/>
        <v>no match</v>
      </c>
    </row>
    <row r="69" spans="1:32" ht="29" x14ac:dyDescent="0.35">
      <c r="A69" s="1" t="s">
        <v>238</v>
      </c>
      <c r="B69" s="2">
        <v>45484</v>
      </c>
      <c r="C69" s="1" t="s">
        <v>75</v>
      </c>
      <c r="D69" s="1" t="s">
        <v>76</v>
      </c>
      <c r="E69" s="1" t="s">
        <v>100</v>
      </c>
      <c r="F69" s="1" t="s">
        <v>101</v>
      </c>
      <c r="G69" s="1" t="s">
        <v>28</v>
      </c>
      <c r="H69" s="3">
        <v>1</v>
      </c>
      <c r="I69" s="26">
        <v>149.99</v>
      </c>
      <c r="J69" s="1" t="s">
        <v>71</v>
      </c>
      <c r="K69" s="1" t="s">
        <v>72</v>
      </c>
      <c r="L69" s="1" t="s">
        <v>85</v>
      </c>
      <c r="M69" s="2">
        <v>44909</v>
      </c>
      <c r="N69" s="25">
        <f t="shared" si="9"/>
        <v>149.99</v>
      </c>
      <c r="O69" s="4">
        <f t="shared" ca="1" si="10"/>
        <v>46324.650590393518</v>
      </c>
      <c r="P69" s="5">
        <f t="shared" ca="1" si="11"/>
        <v>46324</v>
      </c>
      <c r="Q69" t="str">
        <f t="shared" si="12"/>
        <v>January</v>
      </c>
      <c r="R69">
        <f t="shared" si="13"/>
        <v>18</v>
      </c>
      <c r="T69">
        <v>16</v>
      </c>
      <c r="X69" t="str">
        <f t="shared" si="14"/>
        <v>JJ</v>
      </c>
      <c r="AF69">
        <f t="shared" si="15"/>
        <v>149.99</v>
      </c>
    </row>
    <row r="70" spans="1:32" ht="29" x14ac:dyDescent="0.35">
      <c r="A70" s="1" t="s">
        <v>239</v>
      </c>
      <c r="B70" s="2">
        <v>45484</v>
      </c>
      <c r="C70" s="1" t="s">
        <v>240</v>
      </c>
      <c r="D70" s="1" t="s">
        <v>241</v>
      </c>
      <c r="E70" s="1" t="s">
        <v>153</v>
      </c>
      <c r="F70" s="1" t="s">
        <v>154</v>
      </c>
      <c r="G70" s="1" t="s">
        <v>29</v>
      </c>
      <c r="H70" s="3">
        <v>1</v>
      </c>
      <c r="I70" s="26">
        <v>299.99</v>
      </c>
      <c r="J70" s="1" t="s">
        <v>77</v>
      </c>
      <c r="K70" s="1" t="s">
        <v>89</v>
      </c>
      <c r="L70" s="1" t="s">
        <v>78</v>
      </c>
      <c r="M70" s="2">
        <v>44891</v>
      </c>
      <c r="N70" s="25">
        <f t="shared" si="9"/>
        <v>299.99</v>
      </c>
      <c r="O70" s="4">
        <f t="shared" ca="1" si="10"/>
        <v>46324.650590393518</v>
      </c>
      <c r="P70" s="5">
        <f t="shared" ca="1" si="11"/>
        <v>46324</v>
      </c>
      <c r="Q70" t="str">
        <f t="shared" si="12"/>
        <v>December</v>
      </c>
      <c r="R70">
        <f t="shared" si="13"/>
        <v>19</v>
      </c>
      <c r="T70">
        <v>26</v>
      </c>
      <c r="X70" t="str">
        <f t="shared" si="14"/>
        <v>FT</v>
      </c>
      <c r="AF70">
        <f t="shared" si="15"/>
        <v>299.99</v>
      </c>
    </row>
    <row r="71" spans="1:32" ht="29" x14ac:dyDescent="0.35">
      <c r="A71" s="1" t="s">
        <v>242</v>
      </c>
      <c r="B71" s="2">
        <v>45487</v>
      </c>
      <c r="C71" s="1" t="s">
        <v>240</v>
      </c>
      <c r="D71" s="1" t="s">
        <v>241</v>
      </c>
      <c r="E71" s="1" t="s">
        <v>174</v>
      </c>
      <c r="F71" s="1" t="s">
        <v>175</v>
      </c>
      <c r="G71" s="1" t="s">
        <v>29</v>
      </c>
      <c r="H71" s="3">
        <v>2</v>
      </c>
      <c r="I71" s="26">
        <v>199.99</v>
      </c>
      <c r="J71" s="1" t="s">
        <v>71</v>
      </c>
      <c r="K71" s="1" t="s">
        <v>89</v>
      </c>
      <c r="L71" s="1" t="s">
        <v>73</v>
      </c>
      <c r="M71" s="2">
        <v>44541</v>
      </c>
      <c r="N71" s="25">
        <f t="shared" si="9"/>
        <v>399.98</v>
      </c>
      <c r="O71" s="4">
        <f t="shared" ca="1" si="10"/>
        <v>46324.650590393518</v>
      </c>
      <c r="P71" s="5">
        <f t="shared" ca="1" si="11"/>
        <v>46324</v>
      </c>
      <c r="Q71" t="str">
        <f t="shared" si="12"/>
        <v>January</v>
      </c>
      <c r="R71">
        <f t="shared" si="13"/>
        <v>31</v>
      </c>
      <c r="T71">
        <v>15</v>
      </c>
      <c r="X71" t="str">
        <f t="shared" si="14"/>
        <v>FT</v>
      </c>
      <c r="AF71" t="str">
        <f t="shared" si="15"/>
        <v>no match</v>
      </c>
    </row>
    <row r="72" spans="1:32" ht="29" x14ac:dyDescent="0.35">
      <c r="A72" s="1" t="s">
        <v>243</v>
      </c>
      <c r="B72" s="2">
        <v>45490</v>
      </c>
      <c r="C72" s="1" t="s">
        <v>244</v>
      </c>
      <c r="D72" s="1" t="s">
        <v>245</v>
      </c>
      <c r="E72" s="1" t="s">
        <v>82</v>
      </c>
      <c r="F72" s="1" t="s">
        <v>83</v>
      </c>
      <c r="G72" s="1" t="s">
        <v>27</v>
      </c>
      <c r="H72" s="3">
        <v>3</v>
      </c>
      <c r="I72" s="26">
        <v>59.99</v>
      </c>
      <c r="J72" s="1" t="s">
        <v>77</v>
      </c>
      <c r="K72" s="1" t="s">
        <v>98</v>
      </c>
      <c r="L72" s="1" t="s">
        <v>73</v>
      </c>
      <c r="M72" s="2">
        <v>45130</v>
      </c>
      <c r="N72" s="25">
        <f t="shared" si="9"/>
        <v>179.97</v>
      </c>
      <c r="O72" s="4">
        <f t="shared" ca="1" si="10"/>
        <v>46324.650590393518</v>
      </c>
      <c r="P72" s="5">
        <f t="shared" ca="1" si="11"/>
        <v>46324</v>
      </c>
      <c r="Q72" t="str">
        <f t="shared" si="12"/>
        <v>August</v>
      </c>
      <c r="R72">
        <f t="shared" si="13"/>
        <v>11</v>
      </c>
      <c r="T72">
        <v>29</v>
      </c>
      <c r="X72" t="str">
        <f t="shared" si="14"/>
        <v>GM</v>
      </c>
      <c r="AF72" t="str">
        <f t="shared" si="15"/>
        <v>no match</v>
      </c>
    </row>
    <row r="73" spans="1:32" ht="43.5" x14ac:dyDescent="0.35">
      <c r="A73" s="1" t="s">
        <v>246</v>
      </c>
      <c r="B73" s="2">
        <v>45490</v>
      </c>
      <c r="C73" s="1" t="s">
        <v>120</v>
      </c>
      <c r="D73" s="1" t="s">
        <v>121</v>
      </c>
      <c r="E73" s="1" t="s">
        <v>93</v>
      </c>
      <c r="F73" s="1" t="s">
        <v>94</v>
      </c>
      <c r="G73" s="1" t="s">
        <v>29</v>
      </c>
      <c r="H73" s="3">
        <v>3</v>
      </c>
      <c r="I73" s="26">
        <v>149.99</v>
      </c>
      <c r="J73" s="1" t="s">
        <v>71</v>
      </c>
      <c r="K73" s="1" t="s">
        <v>72</v>
      </c>
      <c r="L73" s="1" t="s">
        <v>78</v>
      </c>
      <c r="M73" s="2">
        <v>45199</v>
      </c>
      <c r="N73" s="25">
        <f t="shared" si="9"/>
        <v>449.97</v>
      </c>
      <c r="O73" s="4">
        <f t="shared" ca="1" si="10"/>
        <v>46324.650590393518</v>
      </c>
      <c r="P73" s="5">
        <f t="shared" ca="1" si="11"/>
        <v>46324</v>
      </c>
      <c r="Q73" t="str">
        <f t="shared" si="12"/>
        <v>October</v>
      </c>
      <c r="R73">
        <f t="shared" si="13"/>
        <v>9</v>
      </c>
      <c r="T73">
        <v>35</v>
      </c>
      <c r="X73" t="str">
        <f t="shared" si="14"/>
        <v>PR</v>
      </c>
      <c r="AF73" t="str">
        <f t="shared" si="15"/>
        <v>no match</v>
      </c>
    </row>
    <row r="74" spans="1:32" ht="29" x14ac:dyDescent="0.35">
      <c r="A74" s="1" t="s">
        <v>247</v>
      </c>
      <c r="B74" s="2">
        <v>45491</v>
      </c>
      <c r="C74" s="1" t="s">
        <v>113</v>
      </c>
      <c r="D74" s="1" t="s">
        <v>114</v>
      </c>
      <c r="E74" s="1" t="s">
        <v>174</v>
      </c>
      <c r="F74" s="1" t="s">
        <v>175</v>
      </c>
      <c r="G74" s="1" t="s">
        <v>29</v>
      </c>
      <c r="H74" s="3">
        <v>3</v>
      </c>
      <c r="I74" s="26">
        <v>199.99</v>
      </c>
      <c r="J74" s="1" t="s">
        <v>71</v>
      </c>
      <c r="K74" s="1" t="s">
        <v>89</v>
      </c>
      <c r="L74" s="1" t="s">
        <v>78</v>
      </c>
      <c r="M74" s="2">
        <v>45254</v>
      </c>
      <c r="N74" s="25">
        <f t="shared" si="9"/>
        <v>599.97</v>
      </c>
      <c r="O74" s="4">
        <f t="shared" ca="1" si="10"/>
        <v>46324.650590393518</v>
      </c>
      <c r="P74" s="5">
        <f t="shared" ca="1" si="11"/>
        <v>46324</v>
      </c>
      <c r="Q74" t="str">
        <f t="shared" si="12"/>
        <v>December</v>
      </c>
      <c r="R74">
        <f t="shared" si="13"/>
        <v>7</v>
      </c>
      <c r="T74">
        <v>15</v>
      </c>
      <c r="X74" t="str">
        <f t="shared" si="14"/>
        <v>KH</v>
      </c>
      <c r="AF74" t="str">
        <f t="shared" si="15"/>
        <v>no match</v>
      </c>
    </row>
    <row r="75" spans="1:32" ht="29" x14ac:dyDescent="0.35">
      <c r="A75" s="1" t="s">
        <v>248</v>
      </c>
      <c r="B75" s="2">
        <v>45496</v>
      </c>
      <c r="C75" s="1" t="s">
        <v>198</v>
      </c>
      <c r="D75" s="1" t="s">
        <v>199</v>
      </c>
      <c r="E75" s="1" t="s">
        <v>109</v>
      </c>
      <c r="F75" s="1" t="s">
        <v>110</v>
      </c>
      <c r="G75" s="1" t="s">
        <v>28</v>
      </c>
      <c r="H75" s="3">
        <v>1</v>
      </c>
      <c r="I75" s="26">
        <v>899.99</v>
      </c>
      <c r="J75" s="1" t="s">
        <v>71</v>
      </c>
      <c r="K75" s="1" t="s">
        <v>72</v>
      </c>
      <c r="L75" s="1" t="s">
        <v>85</v>
      </c>
      <c r="M75" s="2">
        <v>45179</v>
      </c>
      <c r="N75" s="25">
        <f t="shared" si="9"/>
        <v>899.99</v>
      </c>
      <c r="O75" s="4">
        <f t="shared" ca="1" si="10"/>
        <v>46324.650590393518</v>
      </c>
      <c r="P75" s="5">
        <f t="shared" ca="1" si="11"/>
        <v>46324</v>
      </c>
      <c r="Q75" t="str">
        <f t="shared" si="12"/>
        <v>October</v>
      </c>
      <c r="R75">
        <f t="shared" si="13"/>
        <v>10</v>
      </c>
      <c r="T75">
        <v>24</v>
      </c>
      <c r="X75" t="str">
        <f t="shared" si="14"/>
        <v>SB</v>
      </c>
      <c r="AF75">
        <f t="shared" si="15"/>
        <v>899.99</v>
      </c>
    </row>
    <row r="76" spans="1:32" ht="29" x14ac:dyDescent="0.35">
      <c r="A76" s="1" t="s">
        <v>249</v>
      </c>
      <c r="B76" s="2">
        <v>45497</v>
      </c>
      <c r="C76" s="1" t="s">
        <v>75</v>
      </c>
      <c r="D76" s="1" t="s">
        <v>76</v>
      </c>
      <c r="E76" s="1" t="s">
        <v>109</v>
      </c>
      <c r="F76" s="1" t="s">
        <v>110</v>
      </c>
      <c r="G76" s="1" t="s">
        <v>28</v>
      </c>
      <c r="H76" s="3">
        <v>5</v>
      </c>
      <c r="I76" s="26">
        <v>899.99</v>
      </c>
      <c r="J76" s="1" t="s">
        <v>105</v>
      </c>
      <c r="K76" s="1" t="s">
        <v>52</v>
      </c>
      <c r="L76" s="1" t="s">
        <v>85</v>
      </c>
      <c r="M76" s="2">
        <v>44899</v>
      </c>
      <c r="N76" s="25">
        <f t="shared" si="9"/>
        <v>4499.95</v>
      </c>
      <c r="O76" s="4">
        <f t="shared" ca="1" si="10"/>
        <v>46324.650590393518</v>
      </c>
      <c r="P76" s="5">
        <f t="shared" ca="1" si="11"/>
        <v>46324</v>
      </c>
      <c r="Q76" t="str">
        <f t="shared" si="12"/>
        <v>January</v>
      </c>
      <c r="R76">
        <f t="shared" si="13"/>
        <v>19</v>
      </c>
      <c r="T76">
        <v>24</v>
      </c>
      <c r="X76" t="str">
        <f t="shared" si="14"/>
        <v>JJ</v>
      </c>
      <c r="AF76" t="str">
        <f t="shared" si="15"/>
        <v>no match</v>
      </c>
    </row>
    <row r="77" spans="1:32" ht="29" x14ac:dyDescent="0.35">
      <c r="A77" s="1" t="s">
        <v>250</v>
      </c>
      <c r="B77" s="2">
        <v>45498</v>
      </c>
      <c r="C77" s="1" t="s">
        <v>230</v>
      </c>
      <c r="D77" s="1" t="s">
        <v>231</v>
      </c>
      <c r="E77" s="1" t="s">
        <v>82</v>
      </c>
      <c r="F77" s="1" t="s">
        <v>83</v>
      </c>
      <c r="G77" s="1" t="s">
        <v>27</v>
      </c>
      <c r="H77" s="3">
        <v>2</v>
      </c>
      <c r="I77" s="26">
        <v>59.99</v>
      </c>
      <c r="J77" s="1" t="s">
        <v>71</v>
      </c>
      <c r="K77" s="1" t="s">
        <v>89</v>
      </c>
      <c r="L77" s="1" t="s">
        <v>85</v>
      </c>
      <c r="M77" s="2">
        <v>45152</v>
      </c>
      <c r="N77" s="25">
        <f t="shared" si="9"/>
        <v>119.98</v>
      </c>
      <c r="O77" s="4">
        <f t="shared" ca="1" si="10"/>
        <v>46324.650590393518</v>
      </c>
      <c r="P77" s="5">
        <f t="shared" ca="1" si="11"/>
        <v>46324</v>
      </c>
      <c r="Q77" t="str">
        <f t="shared" si="12"/>
        <v>September</v>
      </c>
      <c r="R77">
        <f t="shared" si="13"/>
        <v>11</v>
      </c>
      <c r="T77">
        <v>29</v>
      </c>
      <c r="X77" t="str">
        <f t="shared" si="14"/>
        <v>DM</v>
      </c>
      <c r="AF77" t="str">
        <f t="shared" si="15"/>
        <v>no match</v>
      </c>
    </row>
    <row r="78" spans="1:32" ht="29" x14ac:dyDescent="0.35">
      <c r="A78" s="1" t="s">
        <v>251</v>
      </c>
      <c r="B78" s="2">
        <v>45498</v>
      </c>
      <c r="C78" s="1" t="s">
        <v>244</v>
      </c>
      <c r="D78" s="1" t="s">
        <v>245</v>
      </c>
      <c r="E78" s="1" t="s">
        <v>69</v>
      </c>
      <c r="F78" s="1" t="s">
        <v>70</v>
      </c>
      <c r="G78" s="1" t="s">
        <v>28</v>
      </c>
      <c r="H78" s="3">
        <v>4</v>
      </c>
      <c r="I78" s="26">
        <v>249.99</v>
      </c>
      <c r="J78" s="1" t="s">
        <v>105</v>
      </c>
      <c r="K78" s="1" t="s">
        <v>72</v>
      </c>
      <c r="L78" s="1" t="s">
        <v>85</v>
      </c>
      <c r="M78" s="2">
        <v>45127</v>
      </c>
      <c r="N78" s="25">
        <f t="shared" si="9"/>
        <v>999.96</v>
      </c>
      <c r="O78" s="4">
        <f t="shared" ca="1" si="10"/>
        <v>46324.650590393518</v>
      </c>
      <c r="P78" s="5">
        <f t="shared" ca="1" si="11"/>
        <v>46324</v>
      </c>
      <c r="Q78" t="str">
        <f t="shared" si="12"/>
        <v>August</v>
      </c>
      <c r="R78">
        <f t="shared" si="13"/>
        <v>12</v>
      </c>
      <c r="T78">
        <v>26</v>
      </c>
      <c r="X78" t="str">
        <f t="shared" si="14"/>
        <v>GM</v>
      </c>
      <c r="AF78" t="str">
        <f t="shared" si="15"/>
        <v>no match</v>
      </c>
    </row>
    <row r="79" spans="1:32" ht="29" x14ac:dyDescent="0.35">
      <c r="A79" s="1" t="s">
        <v>252</v>
      </c>
      <c r="B79" s="2">
        <v>45500</v>
      </c>
      <c r="C79" s="1" t="s">
        <v>144</v>
      </c>
      <c r="D79" s="1" t="s">
        <v>145</v>
      </c>
      <c r="E79" s="1" t="s">
        <v>69</v>
      </c>
      <c r="F79" s="1" t="s">
        <v>70</v>
      </c>
      <c r="G79" s="1" t="s">
        <v>28</v>
      </c>
      <c r="H79" s="3">
        <v>2</v>
      </c>
      <c r="I79" s="26">
        <v>249.99</v>
      </c>
      <c r="J79" s="1" t="s">
        <v>71</v>
      </c>
      <c r="K79" s="1" t="s">
        <v>89</v>
      </c>
      <c r="L79" s="1" t="s">
        <v>78</v>
      </c>
      <c r="M79" s="2">
        <v>45164</v>
      </c>
      <c r="N79" s="25">
        <f t="shared" si="9"/>
        <v>499.98</v>
      </c>
      <c r="O79" s="4">
        <f t="shared" ca="1" si="10"/>
        <v>46324.650590393518</v>
      </c>
      <c r="P79" s="5">
        <f t="shared" ca="1" si="11"/>
        <v>46324</v>
      </c>
      <c r="Q79" t="str">
        <f t="shared" si="12"/>
        <v>September</v>
      </c>
      <c r="R79">
        <f t="shared" si="13"/>
        <v>11</v>
      </c>
      <c r="T79">
        <v>26</v>
      </c>
      <c r="X79" t="str">
        <f t="shared" si="14"/>
        <v>BY</v>
      </c>
      <c r="AF79" t="str">
        <f t="shared" si="15"/>
        <v>no match</v>
      </c>
    </row>
    <row r="80" spans="1:32" ht="29" x14ac:dyDescent="0.35">
      <c r="A80" s="1" t="s">
        <v>253</v>
      </c>
      <c r="B80" s="2">
        <v>45500</v>
      </c>
      <c r="C80" s="1" t="s">
        <v>195</v>
      </c>
      <c r="D80" s="1" t="s">
        <v>196</v>
      </c>
      <c r="E80" s="1" t="s">
        <v>153</v>
      </c>
      <c r="F80" s="1" t="s">
        <v>154</v>
      </c>
      <c r="G80" s="1" t="s">
        <v>29</v>
      </c>
      <c r="H80" s="3">
        <v>1</v>
      </c>
      <c r="I80" s="26">
        <v>299.99</v>
      </c>
      <c r="J80" s="1" t="s">
        <v>71</v>
      </c>
      <c r="K80" s="1" t="s">
        <v>52</v>
      </c>
      <c r="L80" s="1" t="s">
        <v>73</v>
      </c>
      <c r="M80" s="2">
        <v>44982</v>
      </c>
      <c r="N80" s="25">
        <f t="shared" si="9"/>
        <v>299.99</v>
      </c>
      <c r="O80" s="4">
        <f t="shared" ca="1" si="10"/>
        <v>46324.650590393518</v>
      </c>
      <c r="P80" s="5">
        <f t="shared" ca="1" si="11"/>
        <v>46324</v>
      </c>
      <c r="Q80" t="str">
        <f t="shared" si="12"/>
        <v>March</v>
      </c>
      <c r="R80">
        <f t="shared" si="13"/>
        <v>17</v>
      </c>
      <c r="T80">
        <v>26</v>
      </c>
      <c r="X80" t="str">
        <f t="shared" si="14"/>
        <v>DK</v>
      </c>
      <c r="AF80">
        <f t="shared" si="15"/>
        <v>299.99</v>
      </c>
    </row>
    <row r="81" spans="1:32" ht="29" x14ac:dyDescent="0.35">
      <c r="A81" s="1" t="s">
        <v>254</v>
      </c>
      <c r="B81" s="2">
        <v>45501</v>
      </c>
      <c r="C81" s="1" t="s">
        <v>134</v>
      </c>
      <c r="D81" s="1" t="s">
        <v>135</v>
      </c>
      <c r="E81" s="1" t="s">
        <v>165</v>
      </c>
      <c r="F81" s="1" t="s">
        <v>166</v>
      </c>
      <c r="G81" s="1" t="s">
        <v>28</v>
      </c>
      <c r="H81" s="3">
        <v>2</v>
      </c>
      <c r="I81" s="26">
        <v>89.99</v>
      </c>
      <c r="J81" s="1" t="s">
        <v>84</v>
      </c>
      <c r="K81" s="1" t="s">
        <v>52</v>
      </c>
      <c r="L81" s="1" t="s">
        <v>73</v>
      </c>
      <c r="M81" s="2">
        <v>44976</v>
      </c>
      <c r="N81" s="25">
        <f t="shared" si="9"/>
        <v>179.98</v>
      </c>
      <c r="O81" s="4">
        <f t="shared" ca="1" si="10"/>
        <v>46324.650590393518</v>
      </c>
      <c r="P81" s="5">
        <f t="shared" ca="1" si="11"/>
        <v>46324</v>
      </c>
      <c r="Q81" t="str">
        <f t="shared" si="12"/>
        <v>March</v>
      </c>
      <c r="R81">
        <f t="shared" si="13"/>
        <v>17</v>
      </c>
      <c r="T81">
        <v>34</v>
      </c>
      <c r="X81" t="str">
        <f t="shared" si="14"/>
        <v>MC</v>
      </c>
      <c r="AF81" t="str">
        <f t="shared" si="15"/>
        <v>no match</v>
      </c>
    </row>
    <row r="82" spans="1:32" ht="29" x14ac:dyDescent="0.35">
      <c r="A82" s="1" t="s">
        <v>255</v>
      </c>
      <c r="B82" s="2">
        <v>45501</v>
      </c>
      <c r="C82" s="1" t="s">
        <v>195</v>
      </c>
      <c r="D82" s="1" t="s">
        <v>196</v>
      </c>
      <c r="E82" s="1" t="s">
        <v>153</v>
      </c>
      <c r="F82" s="1" t="s">
        <v>154</v>
      </c>
      <c r="G82" s="1" t="s">
        <v>29</v>
      </c>
      <c r="H82" s="3">
        <v>3</v>
      </c>
      <c r="I82" s="26">
        <v>299.99</v>
      </c>
      <c r="J82" s="1" t="s">
        <v>71</v>
      </c>
      <c r="K82" s="1" t="s">
        <v>72</v>
      </c>
      <c r="L82" s="1" t="s">
        <v>73</v>
      </c>
      <c r="M82" s="2">
        <v>44732</v>
      </c>
      <c r="N82" s="25">
        <f t="shared" si="9"/>
        <v>899.97</v>
      </c>
      <c r="O82" s="4">
        <f t="shared" ca="1" si="10"/>
        <v>46324.650590393518</v>
      </c>
      <c r="P82" s="5">
        <f t="shared" ca="1" si="11"/>
        <v>46324</v>
      </c>
      <c r="Q82" t="str">
        <f t="shared" si="12"/>
        <v>July</v>
      </c>
      <c r="R82">
        <f t="shared" si="13"/>
        <v>25</v>
      </c>
      <c r="T82">
        <v>26</v>
      </c>
      <c r="X82" t="str">
        <f t="shared" si="14"/>
        <v>DK</v>
      </c>
      <c r="AF82" t="str">
        <f t="shared" si="15"/>
        <v>no match</v>
      </c>
    </row>
    <row r="83" spans="1:32" ht="29" x14ac:dyDescent="0.35">
      <c r="A83" s="1" t="s">
        <v>256</v>
      </c>
      <c r="B83" s="2">
        <v>45503</v>
      </c>
      <c r="C83" s="1" t="s">
        <v>134</v>
      </c>
      <c r="D83" s="1" t="s">
        <v>135</v>
      </c>
      <c r="E83" s="1" t="s">
        <v>128</v>
      </c>
      <c r="F83" s="1" t="s">
        <v>129</v>
      </c>
      <c r="G83" s="1" t="s">
        <v>28</v>
      </c>
      <c r="H83" s="3">
        <v>2</v>
      </c>
      <c r="I83" s="26">
        <v>699.99</v>
      </c>
      <c r="J83" s="1" t="s">
        <v>77</v>
      </c>
      <c r="K83" s="1" t="s">
        <v>89</v>
      </c>
      <c r="L83" s="1" t="s">
        <v>78</v>
      </c>
      <c r="M83" s="2">
        <v>44999</v>
      </c>
      <c r="N83" s="25">
        <f t="shared" si="9"/>
        <v>1399.98</v>
      </c>
      <c r="O83" s="4">
        <f t="shared" ca="1" si="10"/>
        <v>46324.650590393518</v>
      </c>
      <c r="P83" s="5">
        <f t="shared" ca="1" si="11"/>
        <v>46324</v>
      </c>
      <c r="Q83" t="str">
        <f t="shared" si="12"/>
        <v>April</v>
      </c>
      <c r="R83">
        <f t="shared" si="13"/>
        <v>16</v>
      </c>
      <c r="T83">
        <v>31</v>
      </c>
      <c r="X83" t="str">
        <f t="shared" si="14"/>
        <v>MC</v>
      </c>
      <c r="AF83" t="str">
        <f t="shared" si="15"/>
        <v>no match</v>
      </c>
    </row>
    <row r="84" spans="1:32" ht="29" x14ac:dyDescent="0.35">
      <c r="A84" s="1" t="s">
        <v>257</v>
      </c>
      <c r="B84" s="2">
        <v>45504</v>
      </c>
      <c r="C84" s="1" t="s">
        <v>168</v>
      </c>
      <c r="D84" s="1" t="s">
        <v>169</v>
      </c>
      <c r="E84" s="1" t="s">
        <v>109</v>
      </c>
      <c r="F84" s="1" t="s">
        <v>110</v>
      </c>
      <c r="G84" s="1" t="s">
        <v>28</v>
      </c>
      <c r="H84" s="3">
        <v>4</v>
      </c>
      <c r="I84" s="26">
        <v>899.99</v>
      </c>
      <c r="J84" s="1" t="s">
        <v>105</v>
      </c>
      <c r="K84" s="1" t="s">
        <v>52</v>
      </c>
      <c r="L84" s="1" t="s">
        <v>85</v>
      </c>
      <c r="M84" s="2">
        <v>44523</v>
      </c>
      <c r="N84" s="25">
        <f t="shared" si="9"/>
        <v>3599.96</v>
      </c>
      <c r="O84" s="4">
        <f t="shared" ca="1" si="10"/>
        <v>46324.650590393518</v>
      </c>
      <c r="P84" s="5">
        <f t="shared" ca="1" si="11"/>
        <v>46324</v>
      </c>
      <c r="Q84" t="str">
        <f t="shared" si="12"/>
        <v>December</v>
      </c>
      <c r="R84">
        <f t="shared" si="13"/>
        <v>32</v>
      </c>
      <c r="T84">
        <v>24</v>
      </c>
      <c r="X84" t="str">
        <f t="shared" si="14"/>
        <v>HR</v>
      </c>
      <c r="AF84" t="str">
        <f t="shared" si="15"/>
        <v>no match</v>
      </c>
    </row>
    <row r="85" spans="1:32" ht="29" x14ac:dyDescent="0.35">
      <c r="A85" s="1" t="s">
        <v>258</v>
      </c>
      <c r="B85" s="2">
        <v>45509</v>
      </c>
      <c r="C85" s="1" t="s">
        <v>259</v>
      </c>
      <c r="D85" s="1" t="s">
        <v>260</v>
      </c>
      <c r="E85" s="1" t="s">
        <v>93</v>
      </c>
      <c r="F85" s="1" t="s">
        <v>94</v>
      </c>
      <c r="G85" s="1" t="s">
        <v>29</v>
      </c>
      <c r="H85" s="3">
        <v>2</v>
      </c>
      <c r="I85" s="26">
        <v>149.99</v>
      </c>
      <c r="J85" s="1" t="s">
        <v>77</v>
      </c>
      <c r="K85" s="1" t="s">
        <v>98</v>
      </c>
      <c r="L85" s="1" t="s">
        <v>73</v>
      </c>
      <c r="M85" s="2">
        <v>44542</v>
      </c>
      <c r="N85" s="25">
        <f t="shared" si="9"/>
        <v>299.98</v>
      </c>
      <c r="O85" s="4">
        <f t="shared" ca="1" si="10"/>
        <v>46324.650590393518</v>
      </c>
      <c r="P85" s="5">
        <f t="shared" ca="1" si="11"/>
        <v>46324</v>
      </c>
      <c r="Q85" t="str">
        <f t="shared" si="12"/>
        <v>January</v>
      </c>
      <c r="R85">
        <f t="shared" si="13"/>
        <v>31</v>
      </c>
      <c r="T85">
        <v>35</v>
      </c>
      <c r="X85" t="str">
        <f t="shared" si="14"/>
        <v>EH</v>
      </c>
      <c r="AF85" t="str">
        <f t="shared" si="15"/>
        <v>no match</v>
      </c>
    </row>
    <row r="86" spans="1:32" ht="29" x14ac:dyDescent="0.35">
      <c r="A86" s="1" t="s">
        <v>261</v>
      </c>
      <c r="B86" s="2">
        <v>45510</v>
      </c>
      <c r="C86" s="1" t="s">
        <v>150</v>
      </c>
      <c r="D86" s="1" t="s">
        <v>151</v>
      </c>
      <c r="E86" s="1" t="s">
        <v>93</v>
      </c>
      <c r="F86" s="1" t="s">
        <v>94</v>
      </c>
      <c r="G86" s="1" t="s">
        <v>29</v>
      </c>
      <c r="H86" s="3">
        <v>2</v>
      </c>
      <c r="I86" s="26">
        <v>149.99</v>
      </c>
      <c r="J86" s="1" t="s">
        <v>105</v>
      </c>
      <c r="K86" s="1" t="s">
        <v>111</v>
      </c>
      <c r="L86" s="1" t="s">
        <v>85</v>
      </c>
      <c r="M86" s="2">
        <v>44667</v>
      </c>
      <c r="N86" s="25">
        <f t="shared" si="9"/>
        <v>299.98</v>
      </c>
      <c r="O86" s="4">
        <f t="shared" ca="1" si="10"/>
        <v>46324.650590393518</v>
      </c>
      <c r="P86" s="5">
        <f t="shared" ca="1" si="11"/>
        <v>46324</v>
      </c>
      <c r="Q86" t="str">
        <f t="shared" si="12"/>
        <v>May</v>
      </c>
      <c r="R86">
        <f t="shared" si="13"/>
        <v>27</v>
      </c>
      <c r="T86">
        <v>35</v>
      </c>
      <c r="X86" t="str">
        <f t="shared" si="14"/>
        <v>CP</v>
      </c>
      <c r="AF86" t="str">
        <f t="shared" si="15"/>
        <v>no match</v>
      </c>
    </row>
    <row r="87" spans="1:32" ht="29" x14ac:dyDescent="0.35">
      <c r="A87" s="1" t="s">
        <v>262</v>
      </c>
      <c r="B87" s="2">
        <v>45513</v>
      </c>
      <c r="C87" s="1" t="s">
        <v>137</v>
      </c>
      <c r="D87" s="1" t="s">
        <v>138</v>
      </c>
      <c r="E87" s="1" t="s">
        <v>165</v>
      </c>
      <c r="F87" s="1" t="s">
        <v>166</v>
      </c>
      <c r="G87" s="1" t="s">
        <v>28</v>
      </c>
      <c r="H87" s="3">
        <v>1</v>
      </c>
      <c r="I87" s="26">
        <v>89.99</v>
      </c>
      <c r="J87" s="1" t="s">
        <v>77</v>
      </c>
      <c r="K87" s="1" t="s">
        <v>89</v>
      </c>
      <c r="L87" s="1" t="s">
        <v>85</v>
      </c>
      <c r="M87" s="2">
        <v>45393</v>
      </c>
      <c r="N87" s="25">
        <f t="shared" si="9"/>
        <v>89.99</v>
      </c>
      <c r="O87" s="4">
        <f t="shared" ca="1" si="10"/>
        <v>46324.650590393518</v>
      </c>
      <c r="P87" s="5">
        <f t="shared" ca="1" si="11"/>
        <v>46324</v>
      </c>
      <c r="Q87" t="str">
        <f t="shared" si="12"/>
        <v>May</v>
      </c>
      <c r="R87">
        <f t="shared" si="13"/>
        <v>3</v>
      </c>
      <c r="T87">
        <v>34</v>
      </c>
      <c r="X87" t="str">
        <f t="shared" si="14"/>
        <v>MG</v>
      </c>
      <c r="AF87">
        <f t="shared" si="15"/>
        <v>89.99</v>
      </c>
    </row>
    <row r="88" spans="1:32" ht="29" x14ac:dyDescent="0.35">
      <c r="A88" s="1" t="s">
        <v>263</v>
      </c>
      <c r="B88" s="2">
        <v>45515</v>
      </c>
      <c r="C88" s="1" t="s">
        <v>134</v>
      </c>
      <c r="D88" s="1" t="s">
        <v>135</v>
      </c>
      <c r="E88" s="1" t="s">
        <v>153</v>
      </c>
      <c r="F88" s="1" t="s">
        <v>154</v>
      </c>
      <c r="G88" s="1" t="s">
        <v>29</v>
      </c>
      <c r="H88" s="3">
        <v>5</v>
      </c>
      <c r="I88" s="26">
        <v>299.99</v>
      </c>
      <c r="J88" s="1" t="s">
        <v>77</v>
      </c>
      <c r="K88" s="1" t="s">
        <v>89</v>
      </c>
      <c r="L88" s="1" t="s">
        <v>73</v>
      </c>
      <c r="M88" s="2">
        <v>44965</v>
      </c>
      <c r="N88" s="25">
        <f t="shared" si="9"/>
        <v>1499.95</v>
      </c>
      <c r="O88" s="4">
        <f t="shared" ca="1" si="10"/>
        <v>46324.650590393518</v>
      </c>
      <c r="P88" s="5">
        <f t="shared" ca="1" si="11"/>
        <v>46324</v>
      </c>
      <c r="Q88" t="str">
        <f t="shared" si="12"/>
        <v>March</v>
      </c>
      <c r="R88">
        <f t="shared" si="13"/>
        <v>18</v>
      </c>
      <c r="T88">
        <v>26</v>
      </c>
      <c r="X88" t="str">
        <f t="shared" si="14"/>
        <v>MC</v>
      </c>
      <c r="AF88" t="str">
        <f t="shared" si="15"/>
        <v>no match</v>
      </c>
    </row>
    <row r="89" spans="1:32" ht="29" x14ac:dyDescent="0.35">
      <c r="A89" s="1" t="s">
        <v>264</v>
      </c>
      <c r="B89" s="2">
        <v>45517</v>
      </c>
      <c r="C89" s="1" t="s">
        <v>230</v>
      </c>
      <c r="D89" s="1" t="s">
        <v>231</v>
      </c>
      <c r="E89" s="1" t="s">
        <v>100</v>
      </c>
      <c r="F89" s="1" t="s">
        <v>101</v>
      </c>
      <c r="G89" s="1" t="s">
        <v>28</v>
      </c>
      <c r="H89" s="3">
        <v>4</v>
      </c>
      <c r="I89" s="26">
        <v>149.99</v>
      </c>
      <c r="J89" s="1" t="s">
        <v>105</v>
      </c>
      <c r="K89" s="1" t="s">
        <v>52</v>
      </c>
      <c r="L89" s="1" t="s">
        <v>78</v>
      </c>
      <c r="M89" s="2">
        <v>44820</v>
      </c>
      <c r="N89" s="25">
        <f t="shared" si="9"/>
        <v>599.96</v>
      </c>
      <c r="O89" s="4">
        <f t="shared" ca="1" si="10"/>
        <v>46324.650590393518</v>
      </c>
      <c r="P89" s="5">
        <f t="shared" ca="1" si="11"/>
        <v>46324</v>
      </c>
      <c r="Q89" t="str">
        <f t="shared" si="12"/>
        <v>October</v>
      </c>
      <c r="R89">
        <f t="shared" si="13"/>
        <v>22</v>
      </c>
      <c r="T89">
        <v>16</v>
      </c>
      <c r="X89" t="str">
        <f t="shared" si="14"/>
        <v>DM</v>
      </c>
      <c r="AF89" t="str">
        <f t="shared" si="15"/>
        <v>no match</v>
      </c>
    </row>
    <row r="90" spans="1:32" ht="29" x14ac:dyDescent="0.35">
      <c r="A90" s="1" t="s">
        <v>265</v>
      </c>
      <c r="B90" s="2">
        <v>45517</v>
      </c>
      <c r="C90" s="1" t="s">
        <v>233</v>
      </c>
      <c r="D90" s="1" t="s">
        <v>234</v>
      </c>
      <c r="E90" s="1" t="s">
        <v>69</v>
      </c>
      <c r="F90" s="1" t="s">
        <v>70</v>
      </c>
      <c r="G90" s="1" t="s">
        <v>28</v>
      </c>
      <c r="H90" s="3">
        <v>5</v>
      </c>
      <c r="I90" s="26">
        <v>249.99</v>
      </c>
      <c r="J90" s="1" t="s">
        <v>84</v>
      </c>
      <c r="K90" s="1" t="s">
        <v>111</v>
      </c>
      <c r="L90" s="1" t="s">
        <v>78</v>
      </c>
      <c r="M90" s="2">
        <v>44782</v>
      </c>
      <c r="N90" s="25">
        <f t="shared" si="9"/>
        <v>1249.95</v>
      </c>
      <c r="O90" s="4">
        <f t="shared" ca="1" si="10"/>
        <v>46324.650590393518</v>
      </c>
      <c r="P90" s="5">
        <f t="shared" ca="1" si="11"/>
        <v>46324</v>
      </c>
      <c r="Q90" t="str">
        <f t="shared" si="12"/>
        <v>September</v>
      </c>
      <c r="R90">
        <f t="shared" si="13"/>
        <v>24</v>
      </c>
      <c r="T90">
        <v>26</v>
      </c>
      <c r="X90" t="str">
        <f t="shared" si="14"/>
        <v>MW</v>
      </c>
      <c r="AF90" t="str">
        <f t="shared" si="15"/>
        <v>no match</v>
      </c>
    </row>
    <row r="91" spans="1:32" ht="29" x14ac:dyDescent="0.35">
      <c r="A91" s="1" t="s">
        <v>266</v>
      </c>
      <c r="B91" s="2">
        <v>45517</v>
      </c>
      <c r="C91" s="1" t="s">
        <v>113</v>
      </c>
      <c r="D91" s="1" t="s">
        <v>114</v>
      </c>
      <c r="E91" s="1" t="s">
        <v>69</v>
      </c>
      <c r="F91" s="1" t="s">
        <v>70</v>
      </c>
      <c r="G91" s="1" t="s">
        <v>28</v>
      </c>
      <c r="H91" s="3">
        <v>3</v>
      </c>
      <c r="I91" s="26">
        <v>249.99</v>
      </c>
      <c r="J91" s="1" t="s">
        <v>84</v>
      </c>
      <c r="K91" s="1" t="s">
        <v>89</v>
      </c>
      <c r="L91" s="1" t="s">
        <v>78</v>
      </c>
      <c r="M91" s="2">
        <v>44465</v>
      </c>
      <c r="N91" s="25">
        <f t="shared" si="9"/>
        <v>749.97</v>
      </c>
      <c r="O91" s="4">
        <f t="shared" ca="1" si="10"/>
        <v>46324.650590393518</v>
      </c>
      <c r="P91" s="5">
        <f t="shared" ca="1" si="11"/>
        <v>46324</v>
      </c>
      <c r="Q91" t="str">
        <f t="shared" si="12"/>
        <v>October</v>
      </c>
      <c r="R91">
        <f t="shared" si="13"/>
        <v>34</v>
      </c>
      <c r="T91">
        <v>26</v>
      </c>
      <c r="X91" t="str">
        <f t="shared" si="14"/>
        <v>KH</v>
      </c>
      <c r="AF91" t="str">
        <f t="shared" si="15"/>
        <v>no match</v>
      </c>
    </row>
    <row r="92" spans="1:32" ht="29" x14ac:dyDescent="0.35">
      <c r="A92" s="1" t="s">
        <v>267</v>
      </c>
      <c r="B92" s="2">
        <v>45517</v>
      </c>
      <c r="C92" s="1" t="s">
        <v>87</v>
      </c>
      <c r="D92" s="1" t="s">
        <v>88</v>
      </c>
      <c r="E92" s="1" t="s">
        <v>174</v>
      </c>
      <c r="F92" s="1" t="s">
        <v>175</v>
      </c>
      <c r="G92" s="1" t="s">
        <v>29</v>
      </c>
      <c r="H92" s="3">
        <v>4</v>
      </c>
      <c r="I92" s="26">
        <v>199.99</v>
      </c>
      <c r="J92" s="1" t="s">
        <v>71</v>
      </c>
      <c r="K92" s="1" t="s">
        <v>89</v>
      </c>
      <c r="L92" s="1" t="s">
        <v>85</v>
      </c>
      <c r="M92" s="2">
        <v>44458</v>
      </c>
      <c r="N92" s="25">
        <f t="shared" si="9"/>
        <v>799.96</v>
      </c>
      <c r="O92" s="4">
        <f t="shared" ca="1" si="10"/>
        <v>46324.650590393518</v>
      </c>
      <c r="P92" s="5">
        <f t="shared" ca="1" si="11"/>
        <v>46324</v>
      </c>
      <c r="Q92" t="str">
        <f t="shared" si="12"/>
        <v>October</v>
      </c>
      <c r="R92">
        <f t="shared" si="13"/>
        <v>34</v>
      </c>
      <c r="T92">
        <v>15</v>
      </c>
      <c r="X92" t="str">
        <f t="shared" si="14"/>
        <v>KB</v>
      </c>
      <c r="AF92" t="str">
        <f t="shared" si="15"/>
        <v>no match</v>
      </c>
    </row>
    <row r="93" spans="1:32" ht="29" x14ac:dyDescent="0.35">
      <c r="A93" s="1" t="s">
        <v>268</v>
      </c>
      <c r="B93" s="2">
        <v>45519</v>
      </c>
      <c r="C93" s="1" t="s">
        <v>206</v>
      </c>
      <c r="D93" s="1" t="s">
        <v>207</v>
      </c>
      <c r="E93" s="1" t="s">
        <v>174</v>
      </c>
      <c r="F93" s="1" t="s">
        <v>175</v>
      </c>
      <c r="G93" s="1" t="s">
        <v>29</v>
      </c>
      <c r="H93" s="3">
        <v>5</v>
      </c>
      <c r="I93" s="26">
        <v>199.99</v>
      </c>
      <c r="J93" s="1" t="s">
        <v>71</v>
      </c>
      <c r="K93" s="1" t="s">
        <v>89</v>
      </c>
      <c r="L93" s="1" t="s">
        <v>78</v>
      </c>
      <c r="M93" s="2">
        <v>44991</v>
      </c>
      <c r="N93" s="25">
        <f t="shared" si="9"/>
        <v>999.95</v>
      </c>
      <c r="O93" s="4">
        <f t="shared" ca="1" si="10"/>
        <v>46324.650590393518</v>
      </c>
      <c r="P93" s="5">
        <f t="shared" ca="1" si="11"/>
        <v>46324</v>
      </c>
      <c r="Q93" t="str">
        <f t="shared" si="12"/>
        <v>April</v>
      </c>
      <c r="R93">
        <f t="shared" si="13"/>
        <v>17</v>
      </c>
      <c r="T93">
        <v>15</v>
      </c>
      <c r="X93" t="str">
        <f t="shared" si="14"/>
        <v>BC</v>
      </c>
      <c r="AF93" t="str">
        <f t="shared" si="15"/>
        <v>no match</v>
      </c>
    </row>
    <row r="94" spans="1:32" ht="29" x14ac:dyDescent="0.35">
      <c r="A94" s="1" t="s">
        <v>269</v>
      </c>
      <c r="B94" s="2">
        <v>45522</v>
      </c>
      <c r="C94" s="1" t="s">
        <v>134</v>
      </c>
      <c r="D94" s="1" t="s">
        <v>135</v>
      </c>
      <c r="E94" s="1" t="s">
        <v>165</v>
      </c>
      <c r="F94" s="1" t="s">
        <v>166</v>
      </c>
      <c r="G94" s="1" t="s">
        <v>28</v>
      </c>
      <c r="H94" s="3">
        <v>2</v>
      </c>
      <c r="I94" s="26">
        <v>89.99</v>
      </c>
      <c r="J94" s="1" t="s">
        <v>71</v>
      </c>
      <c r="K94" s="1" t="s">
        <v>111</v>
      </c>
      <c r="L94" s="1" t="s">
        <v>78</v>
      </c>
      <c r="M94" s="2">
        <v>44972</v>
      </c>
      <c r="N94" s="25">
        <f t="shared" si="9"/>
        <v>179.98</v>
      </c>
      <c r="O94" s="4">
        <f t="shared" ca="1" si="10"/>
        <v>46324.650590393518</v>
      </c>
      <c r="P94" s="5">
        <f t="shared" ca="1" si="11"/>
        <v>46324</v>
      </c>
      <c r="Q94" t="str">
        <f t="shared" si="12"/>
        <v>March</v>
      </c>
      <c r="R94">
        <f t="shared" si="13"/>
        <v>18</v>
      </c>
      <c r="T94">
        <v>34</v>
      </c>
      <c r="X94" t="str">
        <f t="shared" si="14"/>
        <v>MC</v>
      </c>
      <c r="AF94" t="str">
        <f t="shared" si="15"/>
        <v>no match</v>
      </c>
    </row>
    <row r="95" spans="1:32" ht="29" x14ac:dyDescent="0.35">
      <c r="A95" s="1" t="s">
        <v>270</v>
      </c>
      <c r="B95" s="2">
        <v>45523</v>
      </c>
      <c r="C95" s="1" t="s">
        <v>244</v>
      </c>
      <c r="D95" s="1" t="s">
        <v>245</v>
      </c>
      <c r="E95" s="1" t="s">
        <v>109</v>
      </c>
      <c r="F95" s="1" t="s">
        <v>110</v>
      </c>
      <c r="G95" s="1" t="s">
        <v>28</v>
      </c>
      <c r="H95" s="3">
        <v>5</v>
      </c>
      <c r="I95" s="26">
        <v>899.99</v>
      </c>
      <c r="J95" s="1" t="s">
        <v>105</v>
      </c>
      <c r="K95" s="1" t="s">
        <v>111</v>
      </c>
      <c r="L95" s="1" t="s">
        <v>73</v>
      </c>
      <c r="M95" s="2">
        <v>44526</v>
      </c>
      <c r="N95" s="25">
        <f t="shared" si="9"/>
        <v>4499.95</v>
      </c>
      <c r="O95" s="4">
        <f t="shared" ca="1" si="10"/>
        <v>46324.650590393518</v>
      </c>
      <c r="P95" s="5">
        <f t="shared" ca="1" si="11"/>
        <v>46324</v>
      </c>
      <c r="Q95" t="str">
        <f t="shared" si="12"/>
        <v>December</v>
      </c>
      <c r="R95">
        <f t="shared" si="13"/>
        <v>32</v>
      </c>
      <c r="T95">
        <v>24</v>
      </c>
      <c r="X95" t="str">
        <f t="shared" si="14"/>
        <v>GM</v>
      </c>
      <c r="AF95" t="str">
        <f t="shared" si="15"/>
        <v>no match</v>
      </c>
    </row>
    <row r="96" spans="1:32" ht="29" x14ac:dyDescent="0.35">
      <c r="A96" s="1" t="s">
        <v>271</v>
      </c>
      <c r="B96" s="2">
        <v>45523</v>
      </c>
      <c r="C96" s="1" t="s">
        <v>156</v>
      </c>
      <c r="D96" s="1" t="s">
        <v>157</v>
      </c>
      <c r="E96" s="1" t="s">
        <v>100</v>
      </c>
      <c r="F96" s="1" t="s">
        <v>101</v>
      </c>
      <c r="G96" s="1" t="s">
        <v>28</v>
      </c>
      <c r="H96" s="3">
        <v>3</v>
      </c>
      <c r="I96" s="26">
        <v>149.99</v>
      </c>
      <c r="J96" s="1" t="s">
        <v>84</v>
      </c>
      <c r="K96" s="1" t="s">
        <v>111</v>
      </c>
      <c r="L96" s="1" t="s">
        <v>73</v>
      </c>
      <c r="M96" s="2">
        <v>44574</v>
      </c>
      <c r="N96" s="25">
        <f t="shared" si="9"/>
        <v>449.97</v>
      </c>
      <c r="O96" s="4">
        <f t="shared" ca="1" si="10"/>
        <v>46324.650590393518</v>
      </c>
      <c r="P96" s="5">
        <f t="shared" ca="1" si="11"/>
        <v>46324</v>
      </c>
      <c r="Q96" t="str">
        <f t="shared" si="12"/>
        <v>February</v>
      </c>
      <c r="R96">
        <f t="shared" si="13"/>
        <v>31</v>
      </c>
      <c r="T96">
        <v>16</v>
      </c>
      <c r="X96" t="str">
        <f t="shared" si="14"/>
        <v>NC</v>
      </c>
      <c r="AF96" t="str">
        <f t="shared" si="15"/>
        <v>no match</v>
      </c>
    </row>
    <row r="97" spans="1:32" ht="29" x14ac:dyDescent="0.35">
      <c r="A97" s="1" t="s">
        <v>272</v>
      </c>
      <c r="B97" s="2">
        <v>45526</v>
      </c>
      <c r="C97" s="1" t="s">
        <v>150</v>
      </c>
      <c r="D97" s="1" t="s">
        <v>151</v>
      </c>
      <c r="E97" s="1" t="s">
        <v>93</v>
      </c>
      <c r="F97" s="1" t="s">
        <v>94</v>
      </c>
      <c r="G97" s="1" t="s">
        <v>29</v>
      </c>
      <c r="H97" s="3">
        <v>5</v>
      </c>
      <c r="I97" s="26">
        <v>149.99</v>
      </c>
      <c r="J97" s="1" t="s">
        <v>77</v>
      </c>
      <c r="K97" s="1" t="s">
        <v>72</v>
      </c>
      <c r="L97" s="1" t="s">
        <v>73</v>
      </c>
      <c r="M97" s="2">
        <v>45310</v>
      </c>
      <c r="N97" s="25">
        <f t="shared" si="9"/>
        <v>749.95</v>
      </c>
      <c r="O97" s="4">
        <f t="shared" ca="1" si="10"/>
        <v>46324.650590393518</v>
      </c>
      <c r="P97" s="5">
        <f t="shared" ca="1" si="11"/>
        <v>46324</v>
      </c>
      <c r="Q97" t="str">
        <f t="shared" si="12"/>
        <v>February</v>
      </c>
      <c r="R97">
        <f t="shared" si="13"/>
        <v>7</v>
      </c>
      <c r="T97">
        <v>35</v>
      </c>
      <c r="X97" t="str">
        <f t="shared" si="14"/>
        <v>CP</v>
      </c>
      <c r="AF97" t="str">
        <f t="shared" si="15"/>
        <v>no match</v>
      </c>
    </row>
    <row r="98" spans="1:32" ht="29" x14ac:dyDescent="0.35">
      <c r="A98" s="1" t="s">
        <v>273</v>
      </c>
      <c r="B98" s="2">
        <v>45528</v>
      </c>
      <c r="C98" s="1" t="s">
        <v>274</v>
      </c>
      <c r="D98" s="1" t="s">
        <v>275</v>
      </c>
      <c r="E98" s="1" t="s">
        <v>162</v>
      </c>
      <c r="F98" s="1" t="s">
        <v>163</v>
      </c>
      <c r="G98" s="1" t="s">
        <v>27</v>
      </c>
      <c r="H98" s="3">
        <v>3</v>
      </c>
      <c r="I98" s="26">
        <v>79.989999999999995</v>
      </c>
      <c r="J98" s="1" t="s">
        <v>71</v>
      </c>
      <c r="K98" s="1" t="s">
        <v>72</v>
      </c>
      <c r="L98" s="1" t="s">
        <v>78</v>
      </c>
      <c r="M98" s="2">
        <v>44779</v>
      </c>
      <c r="N98" s="25">
        <f t="shared" si="9"/>
        <v>239.96999999999997</v>
      </c>
      <c r="O98" s="4">
        <f t="shared" ca="1" si="10"/>
        <v>46324.650590393518</v>
      </c>
      <c r="P98" s="5">
        <f t="shared" ca="1" si="11"/>
        <v>46324</v>
      </c>
      <c r="Q98" t="str">
        <f t="shared" si="12"/>
        <v>September</v>
      </c>
      <c r="R98">
        <f t="shared" si="13"/>
        <v>24</v>
      </c>
      <c r="T98">
        <v>14</v>
      </c>
      <c r="X98" t="str">
        <f t="shared" si="14"/>
        <v>LR</v>
      </c>
      <c r="AF98" t="str">
        <f t="shared" si="15"/>
        <v>no match</v>
      </c>
    </row>
    <row r="99" spans="1:32" ht="29" x14ac:dyDescent="0.35">
      <c r="A99" s="1" t="s">
        <v>276</v>
      </c>
      <c r="B99" s="2">
        <v>45528</v>
      </c>
      <c r="C99" s="1" t="s">
        <v>192</v>
      </c>
      <c r="D99" s="1" t="s">
        <v>193</v>
      </c>
      <c r="E99" s="1" t="s">
        <v>69</v>
      </c>
      <c r="F99" s="1" t="s">
        <v>70</v>
      </c>
      <c r="G99" s="1" t="s">
        <v>28</v>
      </c>
      <c r="H99" s="3">
        <v>2</v>
      </c>
      <c r="I99" s="26">
        <v>249.99</v>
      </c>
      <c r="J99" s="1" t="s">
        <v>71</v>
      </c>
      <c r="K99" s="1" t="s">
        <v>52</v>
      </c>
      <c r="L99" s="1" t="s">
        <v>85</v>
      </c>
      <c r="M99" s="2">
        <v>44572</v>
      </c>
      <c r="N99" s="25">
        <f t="shared" si="9"/>
        <v>499.98</v>
      </c>
      <c r="O99" s="4">
        <f t="shared" ca="1" si="10"/>
        <v>46324.650590393518</v>
      </c>
      <c r="P99" s="5">
        <f t="shared" ca="1" si="11"/>
        <v>46324</v>
      </c>
      <c r="Q99" t="str">
        <f t="shared" si="12"/>
        <v>February</v>
      </c>
      <c r="R99">
        <f t="shared" si="13"/>
        <v>31</v>
      </c>
      <c r="T99">
        <v>26</v>
      </c>
      <c r="X99" t="str">
        <f t="shared" si="14"/>
        <v>HM</v>
      </c>
      <c r="AF99" t="str">
        <f t="shared" si="15"/>
        <v>no match</v>
      </c>
    </row>
    <row r="100" spans="1:32" ht="29" x14ac:dyDescent="0.35">
      <c r="A100" s="1" t="s">
        <v>277</v>
      </c>
      <c r="B100" s="2">
        <v>45532</v>
      </c>
      <c r="C100" s="1" t="s">
        <v>244</v>
      </c>
      <c r="D100" s="1" t="s">
        <v>245</v>
      </c>
      <c r="E100" s="1" t="s">
        <v>128</v>
      </c>
      <c r="F100" s="1" t="s">
        <v>129</v>
      </c>
      <c r="G100" s="1" t="s">
        <v>28</v>
      </c>
      <c r="H100" s="3">
        <v>1</v>
      </c>
      <c r="I100" s="26">
        <v>699.99</v>
      </c>
      <c r="J100" s="1" t="s">
        <v>71</v>
      </c>
      <c r="K100" s="1" t="s">
        <v>72</v>
      </c>
      <c r="L100" s="1" t="s">
        <v>78</v>
      </c>
      <c r="M100" s="2">
        <v>44497</v>
      </c>
      <c r="N100" s="25">
        <f t="shared" si="9"/>
        <v>699.99</v>
      </c>
      <c r="O100" s="4">
        <f t="shared" ca="1" si="10"/>
        <v>46324.650590393518</v>
      </c>
      <c r="P100" s="5">
        <f t="shared" ca="1" si="11"/>
        <v>46324</v>
      </c>
      <c r="Q100" t="str">
        <f t="shared" si="12"/>
        <v>November</v>
      </c>
      <c r="R100">
        <f t="shared" si="13"/>
        <v>34</v>
      </c>
      <c r="T100">
        <v>31</v>
      </c>
      <c r="X100" t="str">
        <f t="shared" si="14"/>
        <v>GM</v>
      </c>
      <c r="AF100">
        <f t="shared" si="15"/>
        <v>699.99</v>
      </c>
    </row>
    <row r="101" spans="1:32" ht="29" x14ac:dyDescent="0.35">
      <c r="A101" s="1" t="s">
        <v>278</v>
      </c>
      <c r="B101" s="2">
        <v>45532</v>
      </c>
      <c r="C101" s="1" t="s">
        <v>279</v>
      </c>
      <c r="D101" s="1" t="s">
        <v>280</v>
      </c>
      <c r="E101" s="1" t="s">
        <v>100</v>
      </c>
      <c r="F101" s="1" t="s">
        <v>101</v>
      </c>
      <c r="G101" s="1" t="s">
        <v>28</v>
      </c>
      <c r="H101" s="3">
        <v>3</v>
      </c>
      <c r="I101" s="26">
        <v>149.99</v>
      </c>
      <c r="J101" s="1" t="s">
        <v>71</v>
      </c>
      <c r="K101" s="1" t="s">
        <v>98</v>
      </c>
      <c r="L101" s="1" t="s">
        <v>78</v>
      </c>
      <c r="M101" s="2">
        <v>45212</v>
      </c>
      <c r="N101" s="25">
        <f t="shared" si="9"/>
        <v>449.97</v>
      </c>
      <c r="O101" s="4">
        <f t="shared" ca="1" si="10"/>
        <v>46324.650590393518</v>
      </c>
      <c r="P101" s="5">
        <f t="shared" ca="1" si="11"/>
        <v>46324</v>
      </c>
      <c r="Q101" t="str">
        <f t="shared" si="12"/>
        <v>November</v>
      </c>
      <c r="R101">
        <f t="shared" si="13"/>
        <v>10</v>
      </c>
      <c r="T101">
        <v>16</v>
      </c>
      <c r="X101" t="str">
        <f t="shared" si="14"/>
        <v>CE</v>
      </c>
      <c r="AF101" t="str">
        <f t="shared" si="15"/>
        <v>no match</v>
      </c>
    </row>
    <row r="102" spans="1:32" ht="29" x14ac:dyDescent="0.35">
      <c r="A102" s="1" t="s">
        <v>281</v>
      </c>
      <c r="B102" s="2">
        <v>45534</v>
      </c>
      <c r="C102" s="1" t="s">
        <v>282</v>
      </c>
      <c r="D102" s="1" t="s">
        <v>283</v>
      </c>
      <c r="E102" s="1" t="s">
        <v>128</v>
      </c>
      <c r="F102" s="1" t="s">
        <v>129</v>
      </c>
      <c r="G102" s="1" t="s">
        <v>28</v>
      </c>
      <c r="H102" s="3">
        <v>2</v>
      </c>
      <c r="I102" s="26">
        <v>699.99</v>
      </c>
      <c r="J102" s="1" t="s">
        <v>77</v>
      </c>
      <c r="K102" s="1" t="s">
        <v>89</v>
      </c>
      <c r="L102" s="1" t="s">
        <v>78</v>
      </c>
      <c r="M102" s="2">
        <v>44421</v>
      </c>
      <c r="N102" s="25">
        <f t="shared" si="9"/>
        <v>1399.98</v>
      </c>
      <c r="O102" s="4">
        <f t="shared" ca="1" si="10"/>
        <v>46324.650590393518</v>
      </c>
      <c r="P102" s="5">
        <f t="shared" ca="1" si="11"/>
        <v>46324</v>
      </c>
      <c r="Q102" t="str">
        <f t="shared" si="12"/>
        <v>September</v>
      </c>
      <c r="R102">
        <f t="shared" si="13"/>
        <v>36</v>
      </c>
      <c r="T102">
        <v>31</v>
      </c>
      <c r="X102" t="str">
        <f t="shared" si="14"/>
        <v>SP</v>
      </c>
      <c r="AF102" t="str">
        <f t="shared" si="15"/>
        <v>no match</v>
      </c>
    </row>
    <row r="103" spans="1:32" ht="29" x14ac:dyDescent="0.35">
      <c r="A103" s="1" t="s">
        <v>284</v>
      </c>
      <c r="B103" s="2">
        <v>45537</v>
      </c>
      <c r="C103" s="1" t="s">
        <v>279</v>
      </c>
      <c r="D103" s="1" t="s">
        <v>280</v>
      </c>
      <c r="E103" s="1" t="s">
        <v>69</v>
      </c>
      <c r="F103" s="1" t="s">
        <v>70</v>
      </c>
      <c r="G103" s="1" t="s">
        <v>28</v>
      </c>
      <c r="H103" s="3">
        <v>1</v>
      </c>
      <c r="I103" s="26">
        <v>249.99</v>
      </c>
      <c r="J103" s="1" t="s">
        <v>77</v>
      </c>
      <c r="K103" s="1" t="s">
        <v>98</v>
      </c>
      <c r="L103" s="1" t="s">
        <v>78</v>
      </c>
      <c r="M103" s="2">
        <v>44685</v>
      </c>
      <c r="N103" s="25">
        <f t="shared" si="9"/>
        <v>249.99</v>
      </c>
      <c r="O103" s="4">
        <f t="shared" ca="1" si="10"/>
        <v>46324.650590393518</v>
      </c>
      <c r="P103" s="5">
        <f t="shared" ca="1" si="11"/>
        <v>46324</v>
      </c>
      <c r="Q103" t="str">
        <f t="shared" si="12"/>
        <v>June</v>
      </c>
      <c r="R103">
        <f t="shared" si="13"/>
        <v>27</v>
      </c>
      <c r="T103">
        <v>26</v>
      </c>
      <c r="X103" t="str">
        <f t="shared" si="14"/>
        <v>CE</v>
      </c>
      <c r="AF103">
        <f t="shared" si="15"/>
        <v>249.99</v>
      </c>
    </row>
    <row r="104" spans="1:32" ht="29" x14ac:dyDescent="0.35">
      <c r="A104" s="1" t="s">
        <v>285</v>
      </c>
      <c r="B104" s="2">
        <v>45537</v>
      </c>
      <c r="C104" s="1" t="s">
        <v>67</v>
      </c>
      <c r="D104" s="1" t="s">
        <v>68</v>
      </c>
      <c r="E104" s="1" t="s">
        <v>69</v>
      </c>
      <c r="F104" s="1" t="s">
        <v>70</v>
      </c>
      <c r="G104" s="1" t="s">
        <v>28</v>
      </c>
      <c r="H104" s="3">
        <v>1</v>
      </c>
      <c r="I104" s="26">
        <v>249.99</v>
      </c>
      <c r="J104" s="1" t="s">
        <v>105</v>
      </c>
      <c r="K104" s="1" t="s">
        <v>89</v>
      </c>
      <c r="L104" s="1" t="s">
        <v>78</v>
      </c>
      <c r="M104" s="2">
        <v>45332</v>
      </c>
      <c r="N104" s="25">
        <f t="shared" si="9"/>
        <v>249.99</v>
      </c>
      <c r="O104" s="4">
        <f t="shared" ca="1" si="10"/>
        <v>46324.650590393518</v>
      </c>
      <c r="P104" s="5">
        <f t="shared" ca="1" si="11"/>
        <v>46324</v>
      </c>
      <c r="Q104" t="str">
        <f t="shared" si="12"/>
        <v>March</v>
      </c>
      <c r="R104">
        <f t="shared" si="13"/>
        <v>6</v>
      </c>
      <c r="T104">
        <v>26</v>
      </c>
      <c r="X104" t="str">
        <f t="shared" si="14"/>
        <v>PB</v>
      </c>
      <c r="AF104">
        <f t="shared" si="15"/>
        <v>249.99</v>
      </c>
    </row>
    <row r="105" spans="1:32" ht="29" x14ac:dyDescent="0.35">
      <c r="A105" s="1" t="s">
        <v>286</v>
      </c>
      <c r="B105" s="2">
        <v>45538</v>
      </c>
      <c r="C105" s="1" t="s">
        <v>274</v>
      </c>
      <c r="D105" s="1" t="s">
        <v>275</v>
      </c>
      <c r="E105" s="1" t="s">
        <v>128</v>
      </c>
      <c r="F105" s="1" t="s">
        <v>129</v>
      </c>
      <c r="G105" s="1" t="s">
        <v>28</v>
      </c>
      <c r="H105" s="3">
        <v>2</v>
      </c>
      <c r="I105" s="26">
        <v>699.99</v>
      </c>
      <c r="J105" s="1" t="s">
        <v>105</v>
      </c>
      <c r="K105" s="1" t="s">
        <v>72</v>
      </c>
      <c r="L105" s="1" t="s">
        <v>78</v>
      </c>
      <c r="M105" s="2">
        <v>44870</v>
      </c>
      <c r="N105" s="25">
        <f t="shared" si="9"/>
        <v>1399.98</v>
      </c>
      <c r="O105" s="4">
        <f t="shared" ca="1" si="10"/>
        <v>46324.650590393518</v>
      </c>
      <c r="P105" s="5">
        <f t="shared" ca="1" si="11"/>
        <v>46324</v>
      </c>
      <c r="Q105" t="str">
        <f t="shared" si="12"/>
        <v>December</v>
      </c>
      <c r="R105">
        <f t="shared" si="13"/>
        <v>21</v>
      </c>
      <c r="T105">
        <v>31</v>
      </c>
      <c r="X105" t="str">
        <f t="shared" si="14"/>
        <v>LR</v>
      </c>
      <c r="AF105" t="str">
        <f t="shared" si="15"/>
        <v>no match</v>
      </c>
    </row>
    <row r="106" spans="1:32" ht="29" x14ac:dyDescent="0.35">
      <c r="A106" s="1" t="s">
        <v>287</v>
      </c>
      <c r="B106" s="2">
        <v>45541</v>
      </c>
      <c r="C106" s="1" t="s">
        <v>186</v>
      </c>
      <c r="D106" s="1" t="s">
        <v>187</v>
      </c>
      <c r="E106" s="1" t="s">
        <v>82</v>
      </c>
      <c r="F106" s="1" t="s">
        <v>83</v>
      </c>
      <c r="G106" s="1" t="s">
        <v>27</v>
      </c>
      <c r="H106" s="3">
        <v>3</v>
      </c>
      <c r="I106" s="26">
        <v>59.99</v>
      </c>
      <c r="J106" s="1" t="s">
        <v>77</v>
      </c>
      <c r="K106" s="1" t="s">
        <v>72</v>
      </c>
      <c r="L106" s="1" t="s">
        <v>78</v>
      </c>
      <c r="M106" s="2">
        <v>44717</v>
      </c>
      <c r="N106" s="25">
        <f t="shared" si="9"/>
        <v>179.97</v>
      </c>
      <c r="O106" s="4">
        <f t="shared" ca="1" si="10"/>
        <v>46324.650590393518</v>
      </c>
      <c r="P106" s="5">
        <f t="shared" ca="1" si="11"/>
        <v>46324</v>
      </c>
      <c r="Q106" t="str">
        <f t="shared" si="12"/>
        <v>July</v>
      </c>
      <c r="R106">
        <f t="shared" si="13"/>
        <v>27</v>
      </c>
      <c r="T106">
        <v>29</v>
      </c>
      <c r="X106" t="str">
        <f t="shared" si="14"/>
        <v>ST</v>
      </c>
      <c r="AF106" t="str">
        <f t="shared" si="15"/>
        <v>no match</v>
      </c>
    </row>
    <row r="107" spans="1:32" ht="29" x14ac:dyDescent="0.35">
      <c r="A107" s="1" t="s">
        <v>288</v>
      </c>
      <c r="B107" s="2">
        <v>45544</v>
      </c>
      <c r="C107" s="1" t="s">
        <v>180</v>
      </c>
      <c r="D107" s="1" t="s">
        <v>181</v>
      </c>
      <c r="E107" s="1" t="s">
        <v>82</v>
      </c>
      <c r="F107" s="1" t="s">
        <v>83</v>
      </c>
      <c r="G107" s="1" t="s">
        <v>27</v>
      </c>
      <c r="H107" s="3">
        <v>3</v>
      </c>
      <c r="I107" s="26">
        <v>59.99</v>
      </c>
      <c r="J107" s="1" t="s">
        <v>84</v>
      </c>
      <c r="K107" s="1" t="s">
        <v>111</v>
      </c>
      <c r="L107" s="1" t="s">
        <v>85</v>
      </c>
      <c r="M107" s="2">
        <v>44748</v>
      </c>
      <c r="N107" s="25">
        <f t="shared" si="9"/>
        <v>179.97</v>
      </c>
      <c r="O107" s="4">
        <f t="shared" ca="1" si="10"/>
        <v>46324.650590393518</v>
      </c>
      <c r="P107" s="5">
        <f t="shared" ca="1" si="11"/>
        <v>46324</v>
      </c>
      <c r="Q107" t="str">
        <f t="shared" si="12"/>
        <v>August</v>
      </c>
      <c r="R107">
        <f t="shared" si="13"/>
        <v>26</v>
      </c>
      <c r="T107">
        <v>29</v>
      </c>
      <c r="X107" t="str">
        <f t="shared" si="14"/>
        <v>EW</v>
      </c>
      <c r="AF107" t="str">
        <f t="shared" si="15"/>
        <v>no match</v>
      </c>
    </row>
    <row r="108" spans="1:32" ht="29" x14ac:dyDescent="0.35">
      <c r="A108" s="1" t="s">
        <v>289</v>
      </c>
      <c r="B108" s="2">
        <v>45544</v>
      </c>
      <c r="C108" s="1" t="s">
        <v>189</v>
      </c>
      <c r="D108" s="1" t="s">
        <v>190</v>
      </c>
      <c r="E108" s="1" t="s">
        <v>162</v>
      </c>
      <c r="F108" s="1" t="s">
        <v>163</v>
      </c>
      <c r="G108" s="1" t="s">
        <v>27</v>
      </c>
      <c r="H108" s="3">
        <v>4</v>
      </c>
      <c r="I108" s="26">
        <v>79.989999999999995</v>
      </c>
      <c r="J108" s="1" t="s">
        <v>71</v>
      </c>
      <c r="K108" s="1" t="s">
        <v>89</v>
      </c>
      <c r="L108" s="1" t="s">
        <v>73</v>
      </c>
      <c r="M108" s="2">
        <v>44530</v>
      </c>
      <c r="N108" s="25">
        <f t="shared" si="9"/>
        <v>319.95999999999998</v>
      </c>
      <c r="O108" s="4">
        <f t="shared" ca="1" si="10"/>
        <v>46324.650590393518</v>
      </c>
      <c r="P108" s="5">
        <f t="shared" ca="1" si="11"/>
        <v>46324</v>
      </c>
      <c r="Q108" t="str">
        <f t="shared" si="12"/>
        <v>December</v>
      </c>
      <c r="R108">
        <f t="shared" si="13"/>
        <v>33</v>
      </c>
      <c r="T108">
        <v>14</v>
      </c>
      <c r="X108" t="str">
        <f t="shared" si="14"/>
        <v>JT</v>
      </c>
      <c r="AF108" t="str">
        <f t="shared" si="15"/>
        <v>no match</v>
      </c>
    </row>
    <row r="109" spans="1:32" ht="29" x14ac:dyDescent="0.35">
      <c r="A109" s="1" t="s">
        <v>290</v>
      </c>
      <c r="B109" s="2">
        <v>45545</v>
      </c>
      <c r="C109" s="1" t="s">
        <v>103</v>
      </c>
      <c r="D109" s="1" t="s">
        <v>104</v>
      </c>
      <c r="E109" s="1" t="s">
        <v>162</v>
      </c>
      <c r="F109" s="1" t="s">
        <v>163</v>
      </c>
      <c r="G109" s="1" t="s">
        <v>27</v>
      </c>
      <c r="H109" s="3">
        <v>1</v>
      </c>
      <c r="I109" s="26">
        <v>79.989999999999995</v>
      </c>
      <c r="J109" s="1" t="s">
        <v>71</v>
      </c>
      <c r="K109" s="1" t="s">
        <v>98</v>
      </c>
      <c r="L109" s="1" t="s">
        <v>73</v>
      </c>
      <c r="M109" s="2">
        <v>44693</v>
      </c>
      <c r="N109" s="25">
        <f t="shared" si="9"/>
        <v>79.989999999999995</v>
      </c>
      <c r="O109" s="4">
        <f t="shared" ca="1" si="10"/>
        <v>46324.650590393518</v>
      </c>
      <c r="P109" s="5">
        <f t="shared" ca="1" si="11"/>
        <v>46324</v>
      </c>
      <c r="Q109" t="str">
        <f t="shared" si="12"/>
        <v>June</v>
      </c>
      <c r="R109">
        <f t="shared" si="13"/>
        <v>27</v>
      </c>
      <c r="T109">
        <v>14</v>
      </c>
      <c r="X109" t="str">
        <f t="shared" si="14"/>
        <v>CA</v>
      </c>
      <c r="AF109">
        <f t="shared" si="15"/>
        <v>79.989999999999995</v>
      </c>
    </row>
    <row r="110" spans="1:32" ht="29" x14ac:dyDescent="0.35">
      <c r="A110" s="1" t="s">
        <v>291</v>
      </c>
      <c r="B110" s="2">
        <v>45547</v>
      </c>
      <c r="C110" s="1" t="s">
        <v>96</v>
      </c>
      <c r="D110" s="1" t="s">
        <v>97</v>
      </c>
      <c r="E110" s="1" t="s">
        <v>153</v>
      </c>
      <c r="F110" s="1" t="s">
        <v>154</v>
      </c>
      <c r="G110" s="1" t="s">
        <v>29</v>
      </c>
      <c r="H110" s="3">
        <v>3</v>
      </c>
      <c r="I110" s="26">
        <v>299.99</v>
      </c>
      <c r="J110" s="1" t="s">
        <v>77</v>
      </c>
      <c r="K110" s="1" t="s">
        <v>72</v>
      </c>
      <c r="L110" s="1" t="s">
        <v>78</v>
      </c>
      <c r="M110" s="2">
        <v>44494</v>
      </c>
      <c r="N110" s="25">
        <f t="shared" si="9"/>
        <v>899.97</v>
      </c>
      <c r="O110" s="4">
        <f t="shared" ca="1" si="10"/>
        <v>46324.650590393518</v>
      </c>
      <c r="P110" s="5">
        <f t="shared" ca="1" si="11"/>
        <v>46324</v>
      </c>
      <c r="Q110" t="str">
        <f t="shared" si="12"/>
        <v>November</v>
      </c>
      <c r="R110">
        <f t="shared" si="13"/>
        <v>34</v>
      </c>
      <c r="T110">
        <v>26</v>
      </c>
      <c r="X110" t="str">
        <f t="shared" si="14"/>
        <v>DN</v>
      </c>
      <c r="AF110" t="str">
        <f t="shared" si="15"/>
        <v>no match</v>
      </c>
    </row>
    <row r="111" spans="1:32" ht="29" x14ac:dyDescent="0.35">
      <c r="A111" s="1" t="s">
        <v>292</v>
      </c>
      <c r="B111" s="2">
        <v>45548</v>
      </c>
      <c r="C111" s="1" t="s">
        <v>87</v>
      </c>
      <c r="D111" s="1" t="s">
        <v>88</v>
      </c>
      <c r="E111" s="1" t="s">
        <v>165</v>
      </c>
      <c r="F111" s="1" t="s">
        <v>166</v>
      </c>
      <c r="G111" s="1" t="s">
        <v>28</v>
      </c>
      <c r="H111" s="3">
        <v>2</v>
      </c>
      <c r="I111" s="26">
        <v>89.99</v>
      </c>
      <c r="J111" s="1" t="s">
        <v>77</v>
      </c>
      <c r="K111" s="1" t="s">
        <v>52</v>
      </c>
      <c r="L111" s="1" t="s">
        <v>78</v>
      </c>
      <c r="M111" s="2">
        <v>44641</v>
      </c>
      <c r="N111" s="25">
        <f t="shared" si="9"/>
        <v>179.98</v>
      </c>
      <c r="O111" s="4">
        <f t="shared" ca="1" si="10"/>
        <v>46324.650590393518</v>
      </c>
      <c r="P111" s="5">
        <f t="shared" ca="1" si="11"/>
        <v>46324</v>
      </c>
      <c r="Q111" t="str">
        <f t="shared" si="12"/>
        <v>April</v>
      </c>
      <c r="R111">
        <f t="shared" si="13"/>
        <v>29</v>
      </c>
      <c r="T111">
        <v>34</v>
      </c>
      <c r="X111" t="str">
        <f t="shared" si="14"/>
        <v>KB</v>
      </c>
      <c r="AF111" t="str">
        <f t="shared" si="15"/>
        <v>no match</v>
      </c>
    </row>
    <row r="112" spans="1:32" ht="29" x14ac:dyDescent="0.35">
      <c r="A112" s="1" t="s">
        <v>293</v>
      </c>
      <c r="B112" s="2">
        <v>45550</v>
      </c>
      <c r="C112" s="1" t="s">
        <v>294</v>
      </c>
      <c r="D112" s="1" t="s">
        <v>295</v>
      </c>
      <c r="E112" s="1" t="s">
        <v>100</v>
      </c>
      <c r="F112" s="1" t="s">
        <v>101</v>
      </c>
      <c r="G112" s="1" t="s">
        <v>28</v>
      </c>
      <c r="H112" s="3">
        <v>4</v>
      </c>
      <c r="I112" s="26">
        <v>149.99</v>
      </c>
      <c r="J112" s="1" t="s">
        <v>71</v>
      </c>
      <c r="K112" s="1" t="s">
        <v>89</v>
      </c>
      <c r="L112" s="1" t="s">
        <v>73</v>
      </c>
      <c r="M112" s="2">
        <v>44909</v>
      </c>
      <c r="N112" s="25">
        <f t="shared" si="9"/>
        <v>599.96</v>
      </c>
      <c r="O112" s="4">
        <f t="shared" ca="1" si="10"/>
        <v>46324.650590393518</v>
      </c>
      <c r="P112" s="5">
        <f t="shared" ca="1" si="11"/>
        <v>46324</v>
      </c>
      <c r="Q112" t="str">
        <f t="shared" si="12"/>
        <v>January</v>
      </c>
      <c r="R112">
        <f t="shared" si="13"/>
        <v>21</v>
      </c>
      <c r="T112">
        <v>16</v>
      </c>
      <c r="X112" t="str">
        <f t="shared" si="14"/>
        <v>RB</v>
      </c>
      <c r="AF112" t="str">
        <f t="shared" si="15"/>
        <v>no match</v>
      </c>
    </row>
    <row r="113" spans="1:32" ht="29" x14ac:dyDescent="0.35">
      <c r="A113" s="1" t="s">
        <v>296</v>
      </c>
      <c r="B113" s="2">
        <v>45551</v>
      </c>
      <c r="C113" s="1" t="s">
        <v>113</v>
      </c>
      <c r="D113" s="1" t="s">
        <v>114</v>
      </c>
      <c r="E113" s="1" t="s">
        <v>69</v>
      </c>
      <c r="F113" s="1" t="s">
        <v>70</v>
      </c>
      <c r="G113" s="1" t="s">
        <v>28</v>
      </c>
      <c r="H113" s="3">
        <v>2</v>
      </c>
      <c r="I113" s="26">
        <v>249.99</v>
      </c>
      <c r="J113" s="1" t="s">
        <v>84</v>
      </c>
      <c r="K113" s="1" t="s">
        <v>52</v>
      </c>
      <c r="L113" s="1" t="s">
        <v>73</v>
      </c>
      <c r="M113" s="2">
        <v>44993</v>
      </c>
      <c r="N113" s="25">
        <f t="shared" si="9"/>
        <v>499.98</v>
      </c>
      <c r="O113" s="4">
        <f t="shared" ca="1" si="10"/>
        <v>46324.650590393518</v>
      </c>
      <c r="P113" s="5">
        <f t="shared" ca="1" si="11"/>
        <v>46324</v>
      </c>
      <c r="Q113" t="str">
        <f t="shared" si="12"/>
        <v>April</v>
      </c>
      <c r="R113">
        <f t="shared" si="13"/>
        <v>18</v>
      </c>
      <c r="T113">
        <v>26</v>
      </c>
      <c r="X113" t="str">
        <f t="shared" si="14"/>
        <v>KH</v>
      </c>
      <c r="AF113" t="str">
        <f t="shared" si="15"/>
        <v>no match</v>
      </c>
    </row>
    <row r="114" spans="1:32" ht="29" x14ac:dyDescent="0.35">
      <c r="A114" s="1" t="s">
        <v>297</v>
      </c>
      <c r="B114" s="2">
        <v>45551</v>
      </c>
      <c r="C114" s="1" t="s">
        <v>202</v>
      </c>
      <c r="D114" s="1" t="s">
        <v>203</v>
      </c>
      <c r="E114" s="1" t="s">
        <v>174</v>
      </c>
      <c r="F114" s="1" t="s">
        <v>175</v>
      </c>
      <c r="G114" s="1" t="s">
        <v>29</v>
      </c>
      <c r="H114" s="3">
        <v>4</v>
      </c>
      <c r="I114" s="26">
        <v>199.99</v>
      </c>
      <c r="J114" s="1" t="s">
        <v>105</v>
      </c>
      <c r="K114" s="1" t="s">
        <v>111</v>
      </c>
      <c r="L114" s="1" t="s">
        <v>73</v>
      </c>
      <c r="M114" s="2">
        <v>44458</v>
      </c>
      <c r="N114" s="25">
        <f t="shared" si="9"/>
        <v>799.96</v>
      </c>
      <c r="O114" s="4">
        <f t="shared" ca="1" si="10"/>
        <v>46324.650590393518</v>
      </c>
      <c r="P114" s="5">
        <f t="shared" ca="1" si="11"/>
        <v>46324</v>
      </c>
      <c r="Q114" t="str">
        <f t="shared" si="12"/>
        <v>October</v>
      </c>
      <c r="R114">
        <f t="shared" si="13"/>
        <v>35</v>
      </c>
      <c r="T114">
        <v>15</v>
      </c>
      <c r="X114" t="str">
        <f t="shared" si="14"/>
        <v>SD</v>
      </c>
      <c r="AF114" t="str">
        <f t="shared" si="15"/>
        <v>no match</v>
      </c>
    </row>
    <row r="115" spans="1:32" ht="29" x14ac:dyDescent="0.35">
      <c r="A115" s="1" t="s">
        <v>298</v>
      </c>
      <c r="B115" s="2">
        <v>45554</v>
      </c>
      <c r="C115" s="1" t="s">
        <v>195</v>
      </c>
      <c r="D115" s="1" t="s">
        <v>196</v>
      </c>
      <c r="E115" s="1" t="s">
        <v>165</v>
      </c>
      <c r="F115" s="1" t="s">
        <v>166</v>
      </c>
      <c r="G115" s="1" t="s">
        <v>28</v>
      </c>
      <c r="H115" s="3">
        <v>5</v>
      </c>
      <c r="I115" s="26">
        <v>89.99</v>
      </c>
      <c r="J115" s="1" t="s">
        <v>77</v>
      </c>
      <c r="K115" s="1" t="s">
        <v>111</v>
      </c>
      <c r="L115" s="1" t="s">
        <v>78</v>
      </c>
      <c r="M115" s="2">
        <v>44446</v>
      </c>
      <c r="N115" s="25">
        <f t="shared" si="9"/>
        <v>449.95</v>
      </c>
      <c r="O115" s="4">
        <f t="shared" ca="1" si="10"/>
        <v>46324.650590393518</v>
      </c>
      <c r="P115" s="5">
        <f t="shared" ca="1" si="11"/>
        <v>46324</v>
      </c>
      <c r="Q115" t="str">
        <f t="shared" si="12"/>
        <v>October</v>
      </c>
      <c r="R115">
        <f t="shared" si="13"/>
        <v>36</v>
      </c>
      <c r="T115">
        <v>34</v>
      </c>
      <c r="X115" t="str">
        <f t="shared" si="14"/>
        <v>DK</v>
      </c>
      <c r="AF115" t="str">
        <f t="shared" si="15"/>
        <v>no match</v>
      </c>
    </row>
    <row r="116" spans="1:32" ht="29" x14ac:dyDescent="0.35">
      <c r="A116" s="1" t="s">
        <v>299</v>
      </c>
      <c r="B116" s="2">
        <v>45554</v>
      </c>
      <c r="C116" s="1" t="s">
        <v>300</v>
      </c>
      <c r="D116" s="1" t="s">
        <v>301</v>
      </c>
      <c r="E116" s="1" t="s">
        <v>100</v>
      </c>
      <c r="F116" s="1" t="s">
        <v>101</v>
      </c>
      <c r="G116" s="1" t="s">
        <v>28</v>
      </c>
      <c r="H116" s="3">
        <v>1</v>
      </c>
      <c r="I116" s="26">
        <v>149.99</v>
      </c>
      <c r="J116" s="1" t="s">
        <v>84</v>
      </c>
      <c r="K116" s="1" t="s">
        <v>111</v>
      </c>
      <c r="L116" s="1" t="s">
        <v>85</v>
      </c>
      <c r="M116" s="2">
        <v>44482</v>
      </c>
      <c r="N116" s="25">
        <f t="shared" si="9"/>
        <v>149.99</v>
      </c>
      <c r="O116" s="4">
        <f t="shared" ca="1" si="10"/>
        <v>46324.650590393518</v>
      </c>
      <c r="P116" s="5">
        <f t="shared" ca="1" si="11"/>
        <v>46324</v>
      </c>
      <c r="Q116" t="str">
        <f t="shared" si="12"/>
        <v>November</v>
      </c>
      <c r="R116">
        <f t="shared" si="13"/>
        <v>35</v>
      </c>
      <c r="T116">
        <v>16</v>
      </c>
      <c r="X116" t="str">
        <f t="shared" si="14"/>
        <v>WW</v>
      </c>
      <c r="AF116">
        <f t="shared" si="15"/>
        <v>149.99</v>
      </c>
    </row>
    <row r="117" spans="1:32" ht="43.5" x14ac:dyDescent="0.35">
      <c r="A117" s="1" t="s">
        <v>302</v>
      </c>
      <c r="B117" s="2">
        <v>45554</v>
      </c>
      <c r="C117" s="1" t="s">
        <v>120</v>
      </c>
      <c r="D117" s="1" t="s">
        <v>121</v>
      </c>
      <c r="E117" s="1" t="s">
        <v>128</v>
      </c>
      <c r="F117" s="1" t="s">
        <v>129</v>
      </c>
      <c r="G117" s="1" t="s">
        <v>28</v>
      </c>
      <c r="H117" s="3">
        <v>4</v>
      </c>
      <c r="I117" s="26">
        <v>699.99</v>
      </c>
      <c r="J117" s="1" t="s">
        <v>84</v>
      </c>
      <c r="K117" s="1" t="s">
        <v>52</v>
      </c>
      <c r="L117" s="1" t="s">
        <v>73</v>
      </c>
      <c r="M117" s="2">
        <v>44618</v>
      </c>
      <c r="N117" s="25">
        <f t="shared" si="9"/>
        <v>2799.96</v>
      </c>
      <c r="O117" s="4">
        <f t="shared" ca="1" si="10"/>
        <v>46324.650590393518</v>
      </c>
      <c r="P117" s="5">
        <f t="shared" ca="1" si="11"/>
        <v>46324</v>
      </c>
      <c r="Q117" t="str">
        <f t="shared" si="12"/>
        <v>March</v>
      </c>
      <c r="R117">
        <f t="shared" si="13"/>
        <v>30</v>
      </c>
      <c r="T117">
        <v>31</v>
      </c>
      <c r="X117" t="str">
        <f t="shared" si="14"/>
        <v>PR</v>
      </c>
      <c r="AF117" t="str">
        <f t="shared" si="15"/>
        <v>no match</v>
      </c>
    </row>
    <row r="118" spans="1:32" ht="29" x14ac:dyDescent="0.35">
      <c r="A118" s="1" t="s">
        <v>303</v>
      </c>
      <c r="B118" s="2">
        <v>45559</v>
      </c>
      <c r="C118" s="1" t="s">
        <v>282</v>
      </c>
      <c r="D118" s="1" t="s">
        <v>283</v>
      </c>
      <c r="E118" s="1" t="s">
        <v>109</v>
      </c>
      <c r="F118" s="1" t="s">
        <v>110</v>
      </c>
      <c r="G118" s="1" t="s">
        <v>28</v>
      </c>
      <c r="H118" s="3">
        <v>3</v>
      </c>
      <c r="I118" s="26">
        <v>899.99</v>
      </c>
      <c r="J118" s="1" t="s">
        <v>77</v>
      </c>
      <c r="K118" s="1" t="s">
        <v>89</v>
      </c>
      <c r="L118" s="1" t="s">
        <v>85</v>
      </c>
      <c r="M118" s="2">
        <v>45157</v>
      </c>
      <c r="N118" s="25">
        <f t="shared" si="9"/>
        <v>2699.9700000000003</v>
      </c>
      <c r="O118" s="4">
        <f t="shared" ca="1" si="10"/>
        <v>46324.650590393518</v>
      </c>
      <c r="P118" s="5">
        <f t="shared" ca="1" si="11"/>
        <v>46324</v>
      </c>
      <c r="Q118" t="str">
        <f t="shared" si="12"/>
        <v>September</v>
      </c>
      <c r="R118">
        <f t="shared" si="13"/>
        <v>13</v>
      </c>
      <c r="T118">
        <v>24</v>
      </c>
      <c r="X118" t="str">
        <f t="shared" si="14"/>
        <v>SP</v>
      </c>
      <c r="AF118" t="str">
        <f t="shared" si="15"/>
        <v>no match</v>
      </c>
    </row>
    <row r="119" spans="1:32" ht="29" x14ac:dyDescent="0.35">
      <c r="A119" s="1" t="s">
        <v>304</v>
      </c>
      <c r="B119" s="2">
        <v>45560</v>
      </c>
      <c r="C119" s="1" t="s">
        <v>160</v>
      </c>
      <c r="D119" s="1" t="s">
        <v>161</v>
      </c>
      <c r="E119" s="1" t="s">
        <v>93</v>
      </c>
      <c r="F119" s="1" t="s">
        <v>94</v>
      </c>
      <c r="G119" s="1" t="s">
        <v>29</v>
      </c>
      <c r="H119" s="3">
        <v>3</v>
      </c>
      <c r="I119" s="26">
        <v>149.99</v>
      </c>
      <c r="J119" s="1" t="s">
        <v>84</v>
      </c>
      <c r="K119" s="1" t="s">
        <v>111</v>
      </c>
      <c r="L119" s="1" t="s">
        <v>73</v>
      </c>
      <c r="M119" s="2">
        <v>44886</v>
      </c>
      <c r="N119" s="25">
        <f t="shared" si="9"/>
        <v>449.97</v>
      </c>
      <c r="O119" s="4">
        <f t="shared" ca="1" si="10"/>
        <v>46324.650590393518</v>
      </c>
      <c r="P119" s="5">
        <f t="shared" ca="1" si="11"/>
        <v>46324</v>
      </c>
      <c r="Q119" t="str">
        <f t="shared" si="12"/>
        <v>December</v>
      </c>
      <c r="R119">
        <f t="shared" si="13"/>
        <v>22</v>
      </c>
      <c r="T119">
        <v>35</v>
      </c>
      <c r="X119" t="str">
        <f t="shared" si="14"/>
        <v>LM</v>
      </c>
      <c r="AF119" t="str">
        <f t="shared" si="15"/>
        <v>no match</v>
      </c>
    </row>
    <row r="120" spans="1:32" ht="29" x14ac:dyDescent="0.35">
      <c r="A120" s="1" t="s">
        <v>305</v>
      </c>
      <c r="B120" s="2">
        <v>45563</v>
      </c>
      <c r="C120" s="1" t="s">
        <v>147</v>
      </c>
      <c r="D120" s="1" t="s">
        <v>148</v>
      </c>
      <c r="E120" s="1" t="s">
        <v>153</v>
      </c>
      <c r="F120" s="1" t="s">
        <v>154</v>
      </c>
      <c r="G120" s="1" t="s">
        <v>29</v>
      </c>
      <c r="H120" s="3">
        <v>2</v>
      </c>
      <c r="I120" s="26">
        <v>299.99</v>
      </c>
      <c r="J120" s="1" t="s">
        <v>105</v>
      </c>
      <c r="K120" s="1" t="s">
        <v>72</v>
      </c>
      <c r="L120" s="1" t="s">
        <v>73</v>
      </c>
      <c r="M120" s="2">
        <v>44569</v>
      </c>
      <c r="N120" s="25">
        <f t="shared" si="9"/>
        <v>599.98</v>
      </c>
      <c r="O120" s="4">
        <f t="shared" ca="1" si="10"/>
        <v>46324.650590393518</v>
      </c>
      <c r="P120" s="5">
        <f t="shared" ca="1" si="11"/>
        <v>46324</v>
      </c>
      <c r="Q120" t="str">
        <f t="shared" si="12"/>
        <v>February</v>
      </c>
      <c r="R120">
        <f t="shared" si="13"/>
        <v>32</v>
      </c>
      <c r="T120">
        <v>26</v>
      </c>
      <c r="X120" t="str">
        <f t="shared" si="14"/>
        <v>PM</v>
      </c>
      <c r="AF120" t="str">
        <f t="shared" si="15"/>
        <v>no match</v>
      </c>
    </row>
    <row r="121" spans="1:32" ht="29" x14ac:dyDescent="0.35">
      <c r="A121" s="1" t="s">
        <v>306</v>
      </c>
      <c r="B121" s="2">
        <v>45564</v>
      </c>
      <c r="C121" s="1" t="s">
        <v>307</v>
      </c>
      <c r="D121" s="1" t="s">
        <v>308</v>
      </c>
      <c r="E121" s="1" t="s">
        <v>174</v>
      </c>
      <c r="F121" s="1" t="s">
        <v>175</v>
      </c>
      <c r="G121" s="1" t="s">
        <v>29</v>
      </c>
      <c r="H121" s="3">
        <v>1</v>
      </c>
      <c r="I121" s="26">
        <v>199.99</v>
      </c>
      <c r="J121" s="1" t="s">
        <v>105</v>
      </c>
      <c r="K121" s="1" t="s">
        <v>111</v>
      </c>
      <c r="L121" s="1" t="s">
        <v>85</v>
      </c>
      <c r="M121" s="2">
        <v>44953</v>
      </c>
      <c r="N121" s="25">
        <f t="shared" si="9"/>
        <v>199.99</v>
      </c>
      <c r="O121" s="4">
        <f t="shared" ca="1" si="10"/>
        <v>46324.650590393518</v>
      </c>
      <c r="P121" s="5">
        <f t="shared" ca="1" si="11"/>
        <v>46324</v>
      </c>
      <c r="Q121" t="str">
        <f t="shared" si="12"/>
        <v>February</v>
      </c>
      <c r="R121">
        <f t="shared" si="13"/>
        <v>20</v>
      </c>
      <c r="T121">
        <v>15</v>
      </c>
      <c r="X121" t="str">
        <f t="shared" si="14"/>
        <v>RL</v>
      </c>
      <c r="AF121">
        <f t="shared" si="15"/>
        <v>199.99</v>
      </c>
    </row>
    <row r="122" spans="1:32" ht="29" x14ac:dyDescent="0.35">
      <c r="A122" s="1" t="s">
        <v>309</v>
      </c>
      <c r="B122" s="2">
        <v>45566</v>
      </c>
      <c r="C122" s="1" t="s">
        <v>91</v>
      </c>
      <c r="D122" s="1" t="s">
        <v>92</v>
      </c>
      <c r="E122" s="1" t="s">
        <v>153</v>
      </c>
      <c r="F122" s="1" t="s">
        <v>154</v>
      </c>
      <c r="G122" s="1" t="s">
        <v>29</v>
      </c>
      <c r="H122" s="3">
        <v>4</v>
      </c>
      <c r="I122" s="26">
        <v>299.99</v>
      </c>
      <c r="J122" s="1" t="s">
        <v>71</v>
      </c>
      <c r="K122" s="1" t="s">
        <v>72</v>
      </c>
      <c r="L122" s="1" t="s">
        <v>78</v>
      </c>
      <c r="M122" s="2">
        <v>44460</v>
      </c>
      <c r="N122" s="25">
        <f t="shared" si="9"/>
        <v>1199.96</v>
      </c>
      <c r="O122" s="4">
        <f t="shared" ca="1" si="10"/>
        <v>46324.650590393518</v>
      </c>
      <c r="P122" s="5">
        <f t="shared" ca="1" si="11"/>
        <v>46324</v>
      </c>
      <c r="Q122" t="str">
        <f t="shared" si="12"/>
        <v>October</v>
      </c>
      <c r="R122">
        <f t="shared" si="13"/>
        <v>36</v>
      </c>
      <c r="T122">
        <v>26</v>
      </c>
      <c r="X122" t="str">
        <f t="shared" si="14"/>
        <v>MB</v>
      </c>
      <c r="AF122" t="str">
        <f t="shared" si="15"/>
        <v>no match</v>
      </c>
    </row>
    <row r="123" spans="1:32" ht="29" x14ac:dyDescent="0.35">
      <c r="A123" s="1" t="s">
        <v>310</v>
      </c>
      <c r="B123" s="2">
        <v>45572</v>
      </c>
      <c r="C123" s="1" t="s">
        <v>137</v>
      </c>
      <c r="D123" s="1" t="s">
        <v>138</v>
      </c>
      <c r="E123" s="1" t="s">
        <v>82</v>
      </c>
      <c r="F123" s="1" t="s">
        <v>83</v>
      </c>
      <c r="G123" s="1" t="s">
        <v>27</v>
      </c>
      <c r="H123" s="3">
        <v>2</v>
      </c>
      <c r="I123" s="26">
        <v>59.99</v>
      </c>
      <c r="J123" s="1" t="s">
        <v>77</v>
      </c>
      <c r="K123" s="1" t="s">
        <v>72</v>
      </c>
      <c r="L123" s="1" t="s">
        <v>73</v>
      </c>
      <c r="M123" s="2">
        <v>44579</v>
      </c>
      <c r="N123" s="25">
        <f t="shared" si="9"/>
        <v>119.98</v>
      </c>
      <c r="O123" s="4">
        <f t="shared" ca="1" si="10"/>
        <v>46324.650590393518</v>
      </c>
      <c r="P123" s="5">
        <f t="shared" ca="1" si="11"/>
        <v>46324</v>
      </c>
      <c r="Q123" t="str">
        <f t="shared" si="12"/>
        <v>February</v>
      </c>
      <c r="R123">
        <f t="shared" si="13"/>
        <v>32</v>
      </c>
      <c r="T123">
        <v>29</v>
      </c>
      <c r="X123" t="str">
        <f t="shared" si="14"/>
        <v>MG</v>
      </c>
      <c r="AF123" t="str">
        <f t="shared" si="15"/>
        <v>no match</v>
      </c>
    </row>
    <row r="124" spans="1:32" ht="29" x14ac:dyDescent="0.35">
      <c r="A124" s="1" t="s">
        <v>311</v>
      </c>
      <c r="B124" s="2">
        <v>45572</v>
      </c>
      <c r="C124" s="1" t="s">
        <v>282</v>
      </c>
      <c r="D124" s="1" t="s">
        <v>283</v>
      </c>
      <c r="E124" s="1" t="s">
        <v>100</v>
      </c>
      <c r="F124" s="1" t="s">
        <v>101</v>
      </c>
      <c r="G124" s="1" t="s">
        <v>28</v>
      </c>
      <c r="H124" s="3">
        <v>4</v>
      </c>
      <c r="I124" s="26">
        <v>149.99</v>
      </c>
      <c r="J124" s="1" t="s">
        <v>77</v>
      </c>
      <c r="K124" s="1" t="s">
        <v>89</v>
      </c>
      <c r="L124" s="1" t="s">
        <v>78</v>
      </c>
      <c r="M124" s="2">
        <v>45076</v>
      </c>
      <c r="N124" s="25">
        <f t="shared" si="9"/>
        <v>599.96</v>
      </c>
      <c r="O124" s="4">
        <f t="shared" ca="1" si="10"/>
        <v>46324.650590393518</v>
      </c>
      <c r="P124" s="5">
        <f t="shared" ca="1" si="11"/>
        <v>46324</v>
      </c>
      <c r="Q124" t="str">
        <f t="shared" si="12"/>
        <v>June</v>
      </c>
      <c r="R124">
        <f t="shared" si="13"/>
        <v>16</v>
      </c>
      <c r="T124">
        <v>16</v>
      </c>
      <c r="X124" t="str">
        <f t="shared" si="14"/>
        <v>SP</v>
      </c>
      <c r="AF124" t="str">
        <f t="shared" si="15"/>
        <v>no match</v>
      </c>
    </row>
    <row r="125" spans="1:32" ht="29" x14ac:dyDescent="0.35">
      <c r="A125" s="1" t="s">
        <v>312</v>
      </c>
      <c r="B125" s="2">
        <v>45573</v>
      </c>
      <c r="C125" s="1" t="s">
        <v>259</v>
      </c>
      <c r="D125" s="1" t="s">
        <v>260</v>
      </c>
      <c r="E125" s="1" t="s">
        <v>128</v>
      </c>
      <c r="F125" s="1" t="s">
        <v>129</v>
      </c>
      <c r="G125" s="1" t="s">
        <v>28</v>
      </c>
      <c r="H125" s="3">
        <v>2</v>
      </c>
      <c r="I125" s="26">
        <v>699.99</v>
      </c>
      <c r="J125" s="1" t="s">
        <v>105</v>
      </c>
      <c r="K125" s="1" t="s">
        <v>111</v>
      </c>
      <c r="L125" s="1" t="s">
        <v>78</v>
      </c>
      <c r="M125" s="2">
        <v>45274</v>
      </c>
      <c r="N125" s="25">
        <f t="shared" si="9"/>
        <v>1399.98</v>
      </c>
      <c r="O125" s="4">
        <f t="shared" ca="1" si="10"/>
        <v>46324.650590393518</v>
      </c>
      <c r="P125" s="5">
        <f t="shared" ca="1" si="11"/>
        <v>46324</v>
      </c>
      <c r="Q125" t="str">
        <f t="shared" si="12"/>
        <v>January</v>
      </c>
      <c r="R125">
        <f t="shared" si="13"/>
        <v>9</v>
      </c>
      <c r="T125">
        <v>31</v>
      </c>
      <c r="X125" t="str">
        <f t="shared" si="14"/>
        <v>EH</v>
      </c>
      <c r="AF125" t="str">
        <f t="shared" si="15"/>
        <v>no match</v>
      </c>
    </row>
    <row r="126" spans="1:32" ht="29" x14ac:dyDescent="0.35">
      <c r="A126" s="1" t="s">
        <v>313</v>
      </c>
      <c r="B126" s="2">
        <v>45573</v>
      </c>
      <c r="C126" s="1" t="s">
        <v>279</v>
      </c>
      <c r="D126" s="1" t="s">
        <v>280</v>
      </c>
      <c r="E126" s="1" t="s">
        <v>93</v>
      </c>
      <c r="F126" s="1" t="s">
        <v>94</v>
      </c>
      <c r="G126" s="1" t="s">
        <v>29</v>
      </c>
      <c r="H126" s="3">
        <v>3</v>
      </c>
      <c r="I126" s="26">
        <v>149.99</v>
      </c>
      <c r="J126" s="1" t="s">
        <v>77</v>
      </c>
      <c r="K126" s="1" t="s">
        <v>52</v>
      </c>
      <c r="L126" s="1" t="s">
        <v>85</v>
      </c>
      <c r="M126" s="2">
        <v>44940</v>
      </c>
      <c r="N126" s="25">
        <f t="shared" si="9"/>
        <v>449.97</v>
      </c>
      <c r="O126" s="4">
        <f t="shared" ca="1" si="10"/>
        <v>46324.650590393518</v>
      </c>
      <c r="P126" s="5">
        <f t="shared" ca="1" si="11"/>
        <v>46324</v>
      </c>
      <c r="Q126" t="str">
        <f t="shared" si="12"/>
        <v>February</v>
      </c>
      <c r="R126">
        <f t="shared" si="13"/>
        <v>20</v>
      </c>
      <c r="T126">
        <v>35</v>
      </c>
      <c r="X126" t="str">
        <f t="shared" si="14"/>
        <v>CE</v>
      </c>
      <c r="AF126" t="str">
        <f t="shared" si="15"/>
        <v>no match</v>
      </c>
    </row>
    <row r="127" spans="1:32" ht="29" x14ac:dyDescent="0.35">
      <c r="A127" s="1" t="s">
        <v>314</v>
      </c>
      <c r="B127" s="2">
        <v>45576</v>
      </c>
      <c r="C127" s="1" t="s">
        <v>195</v>
      </c>
      <c r="D127" s="1" t="s">
        <v>196</v>
      </c>
      <c r="E127" s="1" t="s">
        <v>153</v>
      </c>
      <c r="F127" s="1" t="s">
        <v>154</v>
      </c>
      <c r="G127" s="1" t="s">
        <v>29</v>
      </c>
      <c r="H127" s="3">
        <v>3</v>
      </c>
      <c r="I127" s="26">
        <v>299.99</v>
      </c>
      <c r="J127" s="1" t="s">
        <v>77</v>
      </c>
      <c r="K127" s="1" t="s">
        <v>72</v>
      </c>
      <c r="L127" s="1" t="s">
        <v>85</v>
      </c>
      <c r="M127" s="2">
        <v>45174</v>
      </c>
      <c r="N127" s="25">
        <f t="shared" si="9"/>
        <v>899.97</v>
      </c>
      <c r="O127" s="4">
        <f t="shared" ca="1" si="10"/>
        <v>46324.650590393518</v>
      </c>
      <c r="P127" s="5">
        <f t="shared" ca="1" si="11"/>
        <v>46324</v>
      </c>
      <c r="Q127" t="str">
        <f t="shared" si="12"/>
        <v>October</v>
      </c>
      <c r="R127">
        <f t="shared" si="13"/>
        <v>13</v>
      </c>
      <c r="T127">
        <v>26</v>
      </c>
      <c r="X127" t="str">
        <f t="shared" si="14"/>
        <v>DK</v>
      </c>
      <c r="AF127" t="str">
        <f t="shared" si="15"/>
        <v>no match</v>
      </c>
    </row>
    <row r="128" spans="1:32" ht="29" x14ac:dyDescent="0.35">
      <c r="A128" s="1" t="s">
        <v>315</v>
      </c>
      <c r="B128" s="2">
        <v>45579</v>
      </c>
      <c r="C128" s="1" t="s">
        <v>131</v>
      </c>
      <c r="D128" s="1" t="s">
        <v>132</v>
      </c>
      <c r="E128" s="1" t="s">
        <v>109</v>
      </c>
      <c r="F128" s="1" t="s">
        <v>110</v>
      </c>
      <c r="G128" s="1" t="s">
        <v>28</v>
      </c>
      <c r="H128" s="3">
        <v>3</v>
      </c>
      <c r="I128" s="26">
        <v>899.99</v>
      </c>
      <c r="J128" s="1" t="s">
        <v>84</v>
      </c>
      <c r="K128" s="1" t="s">
        <v>98</v>
      </c>
      <c r="L128" s="1" t="s">
        <v>73</v>
      </c>
      <c r="M128" s="2">
        <v>45215</v>
      </c>
      <c r="N128" s="25">
        <f t="shared" si="9"/>
        <v>2699.9700000000003</v>
      </c>
      <c r="O128" s="4">
        <f t="shared" ca="1" si="10"/>
        <v>46324.650590393518</v>
      </c>
      <c r="P128" s="5">
        <f t="shared" ca="1" si="11"/>
        <v>46324</v>
      </c>
      <c r="Q128" t="str">
        <f t="shared" si="12"/>
        <v>November</v>
      </c>
      <c r="R128">
        <f t="shared" si="13"/>
        <v>11</v>
      </c>
      <c r="T128">
        <v>24</v>
      </c>
      <c r="X128" t="str">
        <f t="shared" si="14"/>
        <v>GA</v>
      </c>
      <c r="AF128" t="str">
        <f t="shared" si="15"/>
        <v>no match</v>
      </c>
    </row>
    <row r="129" spans="1:32" ht="29" x14ac:dyDescent="0.35">
      <c r="A129" s="1" t="s">
        <v>316</v>
      </c>
      <c r="B129" s="2">
        <v>45581</v>
      </c>
      <c r="C129" s="1" t="s">
        <v>144</v>
      </c>
      <c r="D129" s="1" t="s">
        <v>145</v>
      </c>
      <c r="E129" s="1" t="s">
        <v>128</v>
      </c>
      <c r="F129" s="1" t="s">
        <v>129</v>
      </c>
      <c r="G129" s="1" t="s">
        <v>28</v>
      </c>
      <c r="H129" s="3">
        <v>5</v>
      </c>
      <c r="I129" s="26">
        <v>699.99</v>
      </c>
      <c r="J129" s="1" t="s">
        <v>71</v>
      </c>
      <c r="K129" s="1" t="s">
        <v>111</v>
      </c>
      <c r="L129" s="1" t="s">
        <v>85</v>
      </c>
      <c r="M129" s="2">
        <v>45008</v>
      </c>
      <c r="N129" s="25">
        <f t="shared" si="9"/>
        <v>3499.95</v>
      </c>
      <c r="O129" s="4">
        <f t="shared" ca="1" si="10"/>
        <v>46324.650590393518</v>
      </c>
      <c r="P129" s="5">
        <f t="shared" ca="1" si="11"/>
        <v>46324</v>
      </c>
      <c r="Q129" t="str">
        <f t="shared" si="12"/>
        <v>April</v>
      </c>
      <c r="R129">
        <f t="shared" si="13"/>
        <v>18</v>
      </c>
      <c r="T129">
        <v>31</v>
      </c>
      <c r="X129" t="str">
        <f t="shared" si="14"/>
        <v>BY</v>
      </c>
      <c r="AF129" t="str">
        <f t="shared" si="15"/>
        <v>no match</v>
      </c>
    </row>
    <row r="130" spans="1:32" ht="29" x14ac:dyDescent="0.35">
      <c r="A130" s="1" t="s">
        <v>317</v>
      </c>
      <c r="B130" s="2">
        <v>45581</v>
      </c>
      <c r="C130" s="1" t="s">
        <v>219</v>
      </c>
      <c r="D130" s="1" t="s">
        <v>220</v>
      </c>
      <c r="E130" s="1" t="s">
        <v>128</v>
      </c>
      <c r="F130" s="1" t="s">
        <v>129</v>
      </c>
      <c r="G130" s="1" t="s">
        <v>28</v>
      </c>
      <c r="H130" s="3">
        <v>4</v>
      </c>
      <c r="I130" s="26">
        <v>699.99</v>
      </c>
      <c r="J130" s="1" t="s">
        <v>77</v>
      </c>
      <c r="K130" s="1" t="s">
        <v>72</v>
      </c>
      <c r="L130" s="1" t="s">
        <v>73</v>
      </c>
      <c r="M130" s="2">
        <v>45385</v>
      </c>
      <c r="N130" s="25">
        <f t="shared" si="9"/>
        <v>2799.96</v>
      </c>
      <c r="O130" s="4">
        <f t="shared" ca="1" si="10"/>
        <v>46324.650590393518</v>
      </c>
      <c r="P130" s="5">
        <f t="shared" ca="1" si="11"/>
        <v>46324</v>
      </c>
      <c r="Q130" t="str">
        <f t="shared" si="12"/>
        <v>May</v>
      </c>
      <c r="R130">
        <f t="shared" si="13"/>
        <v>6</v>
      </c>
      <c r="T130">
        <v>31</v>
      </c>
      <c r="X130" t="str">
        <f t="shared" si="14"/>
        <v>RR</v>
      </c>
      <c r="AF130" t="str">
        <f t="shared" si="15"/>
        <v>no match</v>
      </c>
    </row>
    <row r="131" spans="1:32" ht="29" x14ac:dyDescent="0.35">
      <c r="A131" s="1" t="s">
        <v>318</v>
      </c>
      <c r="B131" s="2">
        <v>45581</v>
      </c>
      <c r="C131" s="1" t="s">
        <v>198</v>
      </c>
      <c r="D131" s="1" t="s">
        <v>199</v>
      </c>
      <c r="E131" s="1" t="s">
        <v>109</v>
      </c>
      <c r="F131" s="1" t="s">
        <v>110</v>
      </c>
      <c r="G131" s="1" t="s">
        <v>28</v>
      </c>
      <c r="H131" s="3">
        <v>1</v>
      </c>
      <c r="I131" s="26">
        <v>899.99</v>
      </c>
      <c r="J131" s="1" t="s">
        <v>77</v>
      </c>
      <c r="K131" s="1" t="s">
        <v>111</v>
      </c>
      <c r="L131" s="1" t="s">
        <v>85</v>
      </c>
      <c r="M131" s="2">
        <v>45369</v>
      </c>
      <c r="N131" s="25">
        <f t="shared" ref="N131:N194" si="16">I131*H131</f>
        <v>899.99</v>
      </c>
      <c r="O131" s="4">
        <f t="shared" ref="O131:O194" ca="1" si="17">NOW()</f>
        <v>46324.650590393518</v>
      </c>
      <c r="P131" s="5">
        <f t="shared" ref="P131:P194" ca="1" si="18">TODAY()</f>
        <v>46324</v>
      </c>
      <c r="Q131" t="str">
        <f t="shared" ref="Q131:Q194" si="19">TEXT(EOMONTH(M131,1),"mmmm")</f>
        <v>April</v>
      </c>
      <c r="R131">
        <f t="shared" ref="R131:R194" si="20">DATEDIF(M131,B131,"M")</f>
        <v>6</v>
      </c>
      <c r="T131">
        <v>24</v>
      </c>
      <c r="X131" t="str">
        <f t="shared" ref="X131:X194" si="21">LEFT(D131,1)&amp;MID(D131,FIND(" ",D131)+1,1)</f>
        <v>SB</v>
      </c>
      <c r="AF131">
        <f t="shared" ref="AF131:AF194" si="22">IF(I131=N131,I131,"no match")</f>
        <v>899.99</v>
      </c>
    </row>
    <row r="132" spans="1:32" ht="29" x14ac:dyDescent="0.35">
      <c r="A132" s="1" t="s">
        <v>319</v>
      </c>
      <c r="B132" s="2">
        <v>45583</v>
      </c>
      <c r="C132" s="1" t="s">
        <v>274</v>
      </c>
      <c r="D132" s="1" t="s">
        <v>275</v>
      </c>
      <c r="E132" s="1" t="s">
        <v>100</v>
      </c>
      <c r="F132" s="1" t="s">
        <v>101</v>
      </c>
      <c r="G132" s="1" t="s">
        <v>28</v>
      </c>
      <c r="H132" s="3">
        <v>2</v>
      </c>
      <c r="I132" s="26">
        <v>149.99</v>
      </c>
      <c r="J132" s="1" t="s">
        <v>77</v>
      </c>
      <c r="K132" s="1" t="s">
        <v>98</v>
      </c>
      <c r="L132" s="1" t="s">
        <v>73</v>
      </c>
      <c r="M132" s="2">
        <v>44916</v>
      </c>
      <c r="N132" s="25">
        <f t="shared" si="16"/>
        <v>299.98</v>
      </c>
      <c r="O132" s="4">
        <f t="shared" ca="1" si="17"/>
        <v>46324.650590393518</v>
      </c>
      <c r="P132" s="5">
        <f t="shared" ca="1" si="18"/>
        <v>46324</v>
      </c>
      <c r="Q132" t="str">
        <f t="shared" si="19"/>
        <v>January</v>
      </c>
      <c r="R132">
        <f t="shared" si="20"/>
        <v>21</v>
      </c>
      <c r="T132">
        <v>16</v>
      </c>
      <c r="X132" t="str">
        <f t="shared" si="21"/>
        <v>LR</v>
      </c>
      <c r="AF132" t="str">
        <f t="shared" si="22"/>
        <v>no match</v>
      </c>
    </row>
    <row r="133" spans="1:32" ht="29" x14ac:dyDescent="0.35">
      <c r="A133" s="1" t="s">
        <v>320</v>
      </c>
      <c r="B133" s="2">
        <v>45586</v>
      </c>
      <c r="C133" s="1" t="s">
        <v>274</v>
      </c>
      <c r="D133" s="1" t="s">
        <v>275</v>
      </c>
      <c r="E133" s="1" t="s">
        <v>165</v>
      </c>
      <c r="F133" s="1" t="s">
        <v>166</v>
      </c>
      <c r="G133" s="1" t="s">
        <v>28</v>
      </c>
      <c r="H133" s="3">
        <v>3</v>
      </c>
      <c r="I133" s="26">
        <v>89.99</v>
      </c>
      <c r="J133" s="1" t="s">
        <v>84</v>
      </c>
      <c r="K133" s="1" t="s">
        <v>72</v>
      </c>
      <c r="L133" s="1" t="s">
        <v>73</v>
      </c>
      <c r="M133" s="2">
        <v>44551</v>
      </c>
      <c r="N133" s="25">
        <f t="shared" si="16"/>
        <v>269.96999999999997</v>
      </c>
      <c r="O133" s="4">
        <f t="shared" ca="1" si="17"/>
        <v>46324.650590393518</v>
      </c>
      <c r="P133" s="5">
        <f t="shared" ca="1" si="18"/>
        <v>46324</v>
      </c>
      <c r="Q133" t="str">
        <f t="shared" si="19"/>
        <v>January</v>
      </c>
      <c r="R133">
        <f t="shared" si="20"/>
        <v>34</v>
      </c>
      <c r="T133">
        <v>34</v>
      </c>
      <c r="X133" t="str">
        <f t="shared" si="21"/>
        <v>LR</v>
      </c>
      <c r="AF133" t="str">
        <f t="shared" si="22"/>
        <v>no match</v>
      </c>
    </row>
    <row r="134" spans="1:32" ht="29" x14ac:dyDescent="0.35">
      <c r="A134" s="1" t="s">
        <v>321</v>
      </c>
      <c r="B134" s="2">
        <v>45588</v>
      </c>
      <c r="C134" s="1" t="s">
        <v>87</v>
      </c>
      <c r="D134" s="1" t="s">
        <v>88</v>
      </c>
      <c r="E134" s="1" t="s">
        <v>100</v>
      </c>
      <c r="F134" s="1" t="s">
        <v>101</v>
      </c>
      <c r="G134" s="1" t="s">
        <v>28</v>
      </c>
      <c r="H134" s="3">
        <v>2</v>
      </c>
      <c r="I134" s="26">
        <v>149.99</v>
      </c>
      <c r="J134" s="1" t="s">
        <v>84</v>
      </c>
      <c r="K134" s="1" t="s">
        <v>72</v>
      </c>
      <c r="L134" s="1" t="s">
        <v>73</v>
      </c>
      <c r="M134" s="2">
        <v>44473</v>
      </c>
      <c r="N134" s="25">
        <f t="shared" si="16"/>
        <v>299.98</v>
      </c>
      <c r="O134" s="4">
        <f t="shared" ca="1" si="17"/>
        <v>46324.650590393518</v>
      </c>
      <c r="P134" s="5">
        <f t="shared" ca="1" si="18"/>
        <v>46324</v>
      </c>
      <c r="Q134" t="str">
        <f t="shared" si="19"/>
        <v>November</v>
      </c>
      <c r="R134">
        <f t="shared" si="20"/>
        <v>36</v>
      </c>
      <c r="T134">
        <v>16</v>
      </c>
      <c r="X134" t="str">
        <f t="shared" si="21"/>
        <v>KB</v>
      </c>
      <c r="AF134" t="str">
        <f t="shared" si="22"/>
        <v>no match</v>
      </c>
    </row>
    <row r="135" spans="1:32" ht="29" x14ac:dyDescent="0.35">
      <c r="A135" s="1" t="s">
        <v>322</v>
      </c>
      <c r="B135" s="2">
        <v>45588</v>
      </c>
      <c r="C135" s="1" t="s">
        <v>202</v>
      </c>
      <c r="D135" s="1" t="s">
        <v>203</v>
      </c>
      <c r="E135" s="1" t="s">
        <v>128</v>
      </c>
      <c r="F135" s="1" t="s">
        <v>129</v>
      </c>
      <c r="G135" s="1" t="s">
        <v>28</v>
      </c>
      <c r="H135" s="3">
        <v>2</v>
      </c>
      <c r="I135" s="26">
        <v>699.99</v>
      </c>
      <c r="J135" s="1" t="s">
        <v>71</v>
      </c>
      <c r="K135" s="1" t="s">
        <v>72</v>
      </c>
      <c r="L135" s="1" t="s">
        <v>73</v>
      </c>
      <c r="M135" s="2">
        <v>44992</v>
      </c>
      <c r="N135" s="25">
        <f t="shared" si="16"/>
        <v>1399.98</v>
      </c>
      <c r="O135" s="4">
        <f t="shared" ca="1" si="17"/>
        <v>46324.650590393518</v>
      </c>
      <c r="P135" s="5">
        <f t="shared" ca="1" si="18"/>
        <v>46324</v>
      </c>
      <c r="Q135" t="str">
        <f t="shared" si="19"/>
        <v>April</v>
      </c>
      <c r="R135">
        <f t="shared" si="20"/>
        <v>19</v>
      </c>
      <c r="T135">
        <v>31</v>
      </c>
      <c r="X135" t="str">
        <f t="shared" si="21"/>
        <v>SD</v>
      </c>
      <c r="AF135" t="str">
        <f t="shared" si="22"/>
        <v>no match</v>
      </c>
    </row>
    <row r="136" spans="1:32" ht="29" x14ac:dyDescent="0.35">
      <c r="A136" s="1" t="s">
        <v>323</v>
      </c>
      <c r="B136" s="2">
        <v>45589</v>
      </c>
      <c r="C136" s="1" t="s">
        <v>206</v>
      </c>
      <c r="D136" s="1" t="s">
        <v>207</v>
      </c>
      <c r="E136" s="1" t="s">
        <v>128</v>
      </c>
      <c r="F136" s="1" t="s">
        <v>129</v>
      </c>
      <c r="G136" s="1" t="s">
        <v>28</v>
      </c>
      <c r="H136" s="3">
        <v>5</v>
      </c>
      <c r="I136" s="26">
        <v>699.99</v>
      </c>
      <c r="J136" s="1" t="s">
        <v>71</v>
      </c>
      <c r="K136" s="1" t="s">
        <v>89</v>
      </c>
      <c r="L136" s="1" t="s">
        <v>78</v>
      </c>
      <c r="M136" s="2">
        <v>44635</v>
      </c>
      <c r="N136" s="25">
        <f t="shared" si="16"/>
        <v>3499.95</v>
      </c>
      <c r="O136" s="4">
        <f t="shared" ca="1" si="17"/>
        <v>46324.650590393518</v>
      </c>
      <c r="P136" s="5">
        <f t="shared" ca="1" si="18"/>
        <v>46324</v>
      </c>
      <c r="Q136" t="str">
        <f t="shared" si="19"/>
        <v>April</v>
      </c>
      <c r="R136">
        <f t="shared" si="20"/>
        <v>31</v>
      </c>
      <c r="T136">
        <v>31</v>
      </c>
      <c r="X136" t="str">
        <f t="shared" si="21"/>
        <v>BC</v>
      </c>
      <c r="AF136" t="str">
        <f t="shared" si="22"/>
        <v>no match</v>
      </c>
    </row>
    <row r="137" spans="1:32" ht="29" x14ac:dyDescent="0.35">
      <c r="A137" s="1" t="s">
        <v>324</v>
      </c>
      <c r="B137" s="2">
        <v>45592</v>
      </c>
      <c r="C137" s="1" t="s">
        <v>219</v>
      </c>
      <c r="D137" s="1" t="s">
        <v>220</v>
      </c>
      <c r="E137" s="1" t="s">
        <v>165</v>
      </c>
      <c r="F137" s="1" t="s">
        <v>166</v>
      </c>
      <c r="G137" s="1" t="s">
        <v>28</v>
      </c>
      <c r="H137" s="3">
        <v>3</v>
      </c>
      <c r="I137" s="26">
        <v>89.99</v>
      </c>
      <c r="J137" s="1" t="s">
        <v>77</v>
      </c>
      <c r="K137" s="1" t="s">
        <v>89</v>
      </c>
      <c r="L137" s="1" t="s">
        <v>85</v>
      </c>
      <c r="M137" s="2">
        <v>44615</v>
      </c>
      <c r="N137" s="25">
        <f t="shared" si="16"/>
        <v>269.96999999999997</v>
      </c>
      <c r="O137" s="4">
        <f t="shared" ca="1" si="17"/>
        <v>46324.650590393518</v>
      </c>
      <c r="P137" s="5">
        <f t="shared" ca="1" si="18"/>
        <v>46324</v>
      </c>
      <c r="Q137" t="str">
        <f t="shared" si="19"/>
        <v>March</v>
      </c>
      <c r="R137">
        <f t="shared" si="20"/>
        <v>32</v>
      </c>
      <c r="T137">
        <v>34</v>
      </c>
      <c r="X137" t="str">
        <f t="shared" si="21"/>
        <v>RR</v>
      </c>
      <c r="AF137" t="str">
        <f t="shared" si="22"/>
        <v>no match</v>
      </c>
    </row>
    <row r="138" spans="1:32" ht="29" x14ac:dyDescent="0.35">
      <c r="A138" s="1" t="s">
        <v>325</v>
      </c>
      <c r="B138" s="2">
        <v>45597</v>
      </c>
      <c r="C138" s="1" t="s">
        <v>67</v>
      </c>
      <c r="D138" s="1" t="s">
        <v>68</v>
      </c>
      <c r="E138" s="1" t="s">
        <v>69</v>
      </c>
      <c r="F138" s="1" t="s">
        <v>70</v>
      </c>
      <c r="G138" s="1" t="s">
        <v>28</v>
      </c>
      <c r="H138" s="3">
        <v>5</v>
      </c>
      <c r="I138" s="26">
        <v>249.99</v>
      </c>
      <c r="J138" s="1" t="s">
        <v>77</v>
      </c>
      <c r="K138" s="1" t="s">
        <v>52</v>
      </c>
      <c r="L138" s="1" t="s">
        <v>85</v>
      </c>
      <c r="M138" s="2">
        <v>44881</v>
      </c>
      <c r="N138" s="25">
        <f t="shared" si="16"/>
        <v>1249.95</v>
      </c>
      <c r="O138" s="4">
        <f t="shared" ca="1" si="17"/>
        <v>46324.650590393518</v>
      </c>
      <c r="P138" s="5">
        <f t="shared" ca="1" si="18"/>
        <v>46324</v>
      </c>
      <c r="Q138" t="str">
        <f t="shared" si="19"/>
        <v>December</v>
      </c>
      <c r="R138">
        <f t="shared" si="20"/>
        <v>23</v>
      </c>
      <c r="T138">
        <v>26</v>
      </c>
      <c r="X138" t="str">
        <f t="shared" si="21"/>
        <v>PB</v>
      </c>
      <c r="AF138" t="str">
        <f t="shared" si="22"/>
        <v>no match</v>
      </c>
    </row>
    <row r="139" spans="1:32" ht="29" x14ac:dyDescent="0.35">
      <c r="A139" s="1" t="s">
        <v>326</v>
      </c>
      <c r="B139" s="2">
        <v>45600</v>
      </c>
      <c r="C139" s="1" t="s">
        <v>113</v>
      </c>
      <c r="D139" s="1" t="s">
        <v>114</v>
      </c>
      <c r="E139" s="1" t="s">
        <v>153</v>
      </c>
      <c r="F139" s="1" t="s">
        <v>154</v>
      </c>
      <c r="G139" s="1" t="s">
        <v>29</v>
      </c>
      <c r="H139" s="3">
        <v>3</v>
      </c>
      <c r="I139" s="26">
        <v>299.99</v>
      </c>
      <c r="J139" s="1" t="s">
        <v>77</v>
      </c>
      <c r="K139" s="1" t="s">
        <v>52</v>
      </c>
      <c r="L139" s="1" t="s">
        <v>85</v>
      </c>
      <c r="M139" s="2">
        <v>44502</v>
      </c>
      <c r="N139" s="25">
        <f t="shared" si="16"/>
        <v>899.97</v>
      </c>
      <c r="O139" s="4">
        <f t="shared" ca="1" si="17"/>
        <v>46324.650590393518</v>
      </c>
      <c r="P139" s="5">
        <f t="shared" ca="1" si="18"/>
        <v>46324</v>
      </c>
      <c r="Q139" t="str">
        <f t="shared" si="19"/>
        <v>December</v>
      </c>
      <c r="R139">
        <f t="shared" si="20"/>
        <v>36</v>
      </c>
      <c r="T139">
        <v>26</v>
      </c>
      <c r="X139" t="str">
        <f t="shared" si="21"/>
        <v>KH</v>
      </c>
      <c r="AF139" t="str">
        <f t="shared" si="22"/>
        <v>no match</v>
      </c>
    </row>
    <row r="140" spans="1:32" ht="29" x14ac:dyDescent="0.35">
      <c r="A140" s="1" t="s">
        <v>327</v>
      </c>
      <c r="B140" s="2">
        <v>45603</v>
      </c>
      <c r="C140" s="1" t="s">
        <v>147</v>
      </c>
      <c r="D140" s="1" t="s">
        <v>148</v>
      </c>
      <c r="E140" s="1" t="s">
        <v>165</v>
      </c>
      <c r="F140" s="1" t="s">
        <v>166</v>
      </c>
      <c r="G140" s="1" t="s">
        <v>28</v>
      </c>
      <c r="H140" s="3">
        <v>3</v>
      </c>
      <c r="I140" s="26">
        <v>89.99</v>
      </c>
      <c r="J140" s="1" t="s">
        <v>77</v>
      </c>
      <c r="K140" s="1" t="s">
        <v>89</v>
      </c>
      <c r="L140" s="1" t="s">
        <v>78</v>
      </c>
      <c r="M140" s="2">
        <v>44420</v>
      </c>
      <c r="N140" s="25">
        <f t="shared" si="16"/>
        <v>269.96999999999997</v>
      </c>
      <c r="O140" s="4">
        <f t="shared" ca="1" si="17"/>
        <v>46324.650590393518</v>
      </c>
      <c r="P140" s="5">
        <f t="shared" ca="1" si="18"/>
        <v>46324</v>
      </c>
      <c r="Q140" t="str">
        <f t="shared" si="19"/>
        <v>September</v>
      </c>
      <c r="R140">
        <f t="shared" si="20"/>
        <v>38</v>
      </c>
      <c r="T140">
        <v>34</v>
      </c>
      <c r="X140" t="str">
        <f t="shared" si="21"/>
        <v>PM</v>
      </c>
      <c r="AF140" t="str">
        <f t="shared" si="22"/>
        <v>no match</v>
      </c>
    </row>
    <row r="141" spans="1:32" ht="29" x14ac:dyDescent="0.35">
      <c r="A141" s="1" t="s">
        <v>328</v>
      </c>
      <c r="B141" s="2">
        <v>45604</v>
      </c>
      <c r="C141" s="1" t="s">
        <v>137</v>
      </c>
      <c r="D141" s="1" t="s">
        <v>138</v>
      </c>
      <c r="E141" s="1" t="s">
        <v>93</v>
      </c>
      <c r="F141" s="1" t="s">
        <v>94</v>
      </c>
      <c r="G141" s="1" t="s">
        <v>29</v>
      </c>
      <c r="H141" s="3">
        <v>2</v>
      </c>
      <c r="I141" s="26">
        <v>149.99</v>
      </c>
      <c r="J141" s="1" t="s">
        <v>77</v>
      </c>
      <c r="K141" s="1" t="s">
        <v>98</v>
      </c>
      <c r="L141" s="1" t="s">
        <v>78</v>
      </c>
      <c r="M141" s="2">
        <v>44848</v>
      </c>
      <c r="N141" s="25">
        <f t="shared" si="16"/>
        <v>299.98</v>
      </c>
      <c r="O141" s="4">
        <f t="shared" ca="1" si="17"/>
        <v>46324.650590393518</v>
      </c>
      <c r="P141" s="5">
        <f t="shared" ca="1" si="18"/>
        <v>46324</v>
      </c>
      <c r="Q141" t="str">
        <f t="shared" si="19"/>
        <v>November</v>
      </c>
      <c r="R141">
        <f t="shared" si="20"/>
        <v>24</v>
      </c>
      <c r="T141">
        <v>35</v>
      </c>
      <c r="X141" t="str">
        <f t="shared" si="21"/>
        <v>MG</v>
      </c>
      <c r="AF141" t="str">
        <f t="shared" si="22"/>
        <v>no match</v>
      </c>
    </row>
    <row r="142" spans="1:32" ht="29" x14ac:dyDescent="0.35">
      <c r="A142" s="1" t="s">
        <v>329</v>
      </c>
      <c r="B142" s="2">
        <v>45605</v>
      </c>
      <c r="C142" s="1" t="s">
        <v>233</v>
      </c>
      <c r="D142" s="1" t="s">
        <v>234</v>
      </c>
      <c r="E142" s="1" t="s">
        <v>69</v>
      </c>
      <c r="F142" s="1" t="s">
        <v>70</v>
      </c>
      <c r="G142" s="1" t="s">
        <v>28</v>
      </c>
      <c r="H142" s="3">
        <v>1</v>
      </c>
      <c r="I142" s="26">
        <v>249.99</v>
      </c>
      <c r="J142" s="1" t="s">
        <v>77</v>
      </c>
      <c r="K142" s="1" t="s">
        <v>89</v>
      </c>
      <c r="L142" s="1" t="s">
        <v>78</v>
      </c>
      <c r="M142" s="2">
        <v>44828</v>
      </c>
      <c r="N142" s="25">
        <f t="shared" si="16"/>
        <v>249.99</v>
      </c>
      <c r="O142" s="4">
        <f t="shared" ca="1" si="17"/>
        <v>46324.650590393518</v>
      </c>
      <c r="P142" s="5">
        <f t="shared" ca="1" si="18"/>
        <v>46324</v>
      </c>
      <c r="Q142" t="str">
        <f t="shared" si="19"/>
        <v>October</v>
      </c>
      <c r="R142">
        <f t="shared" si="20"/>
        <v>25</v>
      </c>
      <c r="T142">
        <v>26</v>
      </c>
      <c r="X142" t="str">
        <f t="shared" si="21"/>
        <v>MW</v>
      </c>
      <c r="AF142">
        <f t="shared" si="22"/>
        <v>249.99</v>
      </c>
    </row>
    <row r="143" spans="1:32" ht="43.5" x14ac:dyDescent="0.35">
      <c r="A143" s="1" t="s">
        <v>330</v>
      </c>
      <c r="B143" s="2">
        <v>45607</v>
      </c>
      <c r="C143" s="1" t="s">
        <v>120</v>
      </c>
      <c r="D143" s="1" t="s">
        <v>121</v>
      </c>
      <c r="E143" s="1" t="s">
        <v>100</v>
      </c>
      <c r="F143" s="1" t="s">
        <v>101</v>
      </c>
      <c r="G143" s="1" t="s">
        <v>28</v>
      </c>
      <c r="H143" s="3">
        <v>3</v>
      </c>
      <c r="I143" s="26">
        <v>149.99</v>
      </c>
      <c r="J143" s="1" t="s">
        <v>71</v>
      </c>
      <c r="K143" s="1" t="s">
        <v>89</v>
      </c>
      <c r="L143" s="1" t="s">
        <v>73</v>
      </c>
      <c r="M143" s="2">
        <v>44769</v>
      </c>
      <c r="N143" s="25">
        <f t="shared" si="16"/>
        <v>449.97</v>
      </c>
      <c r="O143" s="4">
        <f t="shared" ca="1" si="17"/>
        <v>46324.650590393518</v>
      </c>
      <c r="P143" s="5">
        <f t="shared" ca="1" si="18"/>
        <v>46324</v>
      </c>
      <c r="Q143" t="str">
        <f t="shared" si="19"/>
        <v>August</v>
      </c>
      <c r="R143">
        <f t="shared" si="20"/>
        <v>27</v>
      </c>
      <c r="T143">
        <v>16</v>
      </c>
      <c r="X143" t="str">
        <f t="shared" si="21"/>
        <v>PR</v>
      </c>
      <c r="AF143" t="str">
        <f t="shared" si="22"/>
        <v>no match</v>
      </c>
    </row>
    <row r="144" spans="1:32" ht="29" x14ac:dyDescent="0.35">
      <c r="A144" s="1" t="s">
        <v>331</v>
      </c>
      <c r="B144" s="2">
        <v>45607</v>
      </c>
      <c r="C144" s="1" t="s">
        <v>67</v>
      </c>
      <c r="D144" s="1" t="s">
        <v>68</v>
      </c>
      <c r="E144" s="1" t="s">
        <v>82</v>
      </c>
      <c r="F144" s="1" t="s">
        <v>83</v>
      </c>
      <c r="G144" s="1" t="s">
        <v>27</v>
      </c>
      <c r="H144" s="3">
        <v>5</v>
      </c>
      <c r="I144" s="26">
        <v>59.99</v>
      </c>
      <c r="J144" s="1" t="s">
        <v>84</v>
      </c>
      <c r="K144" s="1" t="s">
        <v>98</v>
      </c>
      <c r="L144" s="1" t="s">
        <v>78</v>
      </c>
      <c r="M144" s="2">
        <v>44694</v>
      </c>
      <c r="N144" s="25">
        <f t="shared" si="16"/>
        <v>299.95</v>
      </c>
      <c r="O144" s="4">
        <f t="shared" ca="1" si="17"/>
        <v>46324.650590393518</v>
      </c>
      <c r="P144" s="5">
        <f t="shared" ca="1" si="18"/>
        <v>46324</v>
      </c>
      <c r="Q144" t="str">
        <f t="shared" si="19"/>
        <v>June</v>
      </c>
      <c r="R144">
        <f t="shared" si="20"/>
        <v>29</v>
      </c>
      <c r="T144">
        <v>29</v>
      </c>
      <c r="X144" t="str">
        <f t="shared" si="21"/>
        <v>PB</v>
      </c>
      <c r="AF144" t="str">
        <f t="shared" si="22"/>
        <v>no match</v>
      </c>
    </row>
    <row r="145" spans="1:32" ht="29" x14ac:dyDescent="0.35">
      <c r="A145" s="1" t="s">
        <v>332</v>
      </c>
      <c r="B145" s="2">
        <v>45607</v>
      </c>
      <c r="C145" s="1" t="s">
        <v>147</v>
      </c>
      <c r="D145" s="1" t="s">
        <v>148</v>
      </c>
      <c r="E145" s="1" t="s">
        <v>69</v>
      </c>
      <c r="F145" s="1" t="s">
        <v>70</v>
      </c>
      <c r="G145" s="1" t="s">
        <v>28</v>
      </c>
      <c r="H145" s="3">
        <v>4</v>
      </c>
      <c r="I145" s="26">
        <v>249.99</v>
      </c>
      <c r="J145" s="1" t="s">
        <v>77</v>
      </c>
      <c r="K145" s="1" t="s">
        <v>98</v>
      </c>
      <c r="L145" s="1" t="s">
        <v>85</v>
      </c>
      <c r="M145" s="2">
        <v>44659</v>
      </c>
      <c r="N145" s="25">
        <f t="shared" si="16"/>
        <v>999.96</v>
      </c>
      <c r="O145" s="4">
        <f t="shared" ca="1" si="17"/>
        <v>46324.650590393518</v>
      </c>
      <c r="P145" s="5">
        <f t="shared" ca="1" si="18"/>
        <v>46324</v>
      </c>
      <c r="Q145" t="str">
        <f t="shared" si="19"/>
        <v>May</v>
      </c>
      <c r="R145">
        <f t="shared" si="20"/>
        <v>31</v>
      </c>
      <c r="T145">
        <v>26</v>
      </c>
      <c r="X145" t="str">
        <f t="shared" si="21"/>
        <v>PM</v>
      </c>
      <c r="AF145" t="str">
        <f t="shared" si="22"/>
        <v>no match</v>
      </c>
    </row>
    <row r="146" spans="1:32" ht="29" x14ac:dyDescent="0.35">
      <c r="A146" s="1" t="s">
        <v>333</v>
      </c>
      <c r="B146" s="2">
        <v>45608</v>
      </c>
      <c r="C146" s="1" t="s">
        <v>202</v>
      </c>
      <c r="D146" s="1" t="s">
        <v>203</v>
      </c>
      <c r="E146" s="1" t="s">
        <v>93</v>
      </c>
      <c r="F146" s="1" t="s">
        <v>94</v>
      </c>
      <c r="G146" s="1" t="s">
        <v>29</v>
      </c>
      <c r="H146" s="3">
        <v>5</v>
      </c>
      <c r="I146" s="26">
        <v>149.99</v>
      </c>
      <c r="J146" s="1" t="s">
        <v>84</v>
      </c>
      <c r="K146" s="1" t="s">
        <v>72</v>
      </c>
      <c r="L146" s="1" t="s">
        <v>73</v>
      </c>
      <c r="M146" s="2">
        <v>44901</v>
      </c>
      <c r="N146" s="25">
        <f t="shared" si="16"/>
        <v>749.95</v>
      </c>
      <c r="O146" s="4">
        <f t="shared" ca="1" si="17"/>
        <v>46324.650590393518</v>
      </c>
      <c r="P146" s="5">
        <f t="shared" ca="1" si="18"/>
        <v>46324</v>
      </c>
      <c r="Q146" t="str">
        <f t="shared" si="19"/>
        <v>January</v>
      </c>
      <c r="R146">
        <f t="shared" si="20"/>
        <v>23</v>
      </c>
      <c r="T146">
        <v>35</v>
      </c>
      <c r="X146" t="str">
        <f t="shared" si="21"/>
        <v>SD</v>
      </c>
      <c r="AF146" t="str">
        <f t="shared" si="22"/>
        <v>no match</v>
      </c>
    </row>
    <row r="147" spans="1:32" ht="29" x14ac:dyDescent="0.35">
      <c r="A147" s="1" t="s">
        <v>334</v>
      </c>
      <c r="B147" s="2">
        <v>45608</v>
      </c>
      <c r="C147" s="1" t="s">
        <v>131</v>
      </c>
      <c r="D147" s="1" t="s">
        <v>132</v>
      </c>
      <c r="E147" s="1" t="s">
        <v>82</v>
      </c>
      <c r="F147" s="1" t="s">
        <v>83</v>
      </c>
      <c r="G147" s="1" t="s">
        <v>27</v>
      </c>
      <c r="H147" s="3">
        <v>3</v>
      </c>
      <c r="I147" s="26">
        <v>59.99</v>
      </c>
      <c r="J147" s="1" t="s">
        <v>105</v>
      </c>
      <c r="K147" s="1" t="s">
        <v>52</v>
      </c>
      <c r="L147" s="1" t="s">
        <v>85</v>
      </c>
      <c r="M147" s="2">
        <v>45260</v>
      </c>
      <c r="N147" s="25">
        <f t="shared" si="16"/>
        <v>179.97</v>
      </c>
      <c r="O147" s="4">
        <f t="shared" ca="1" si="17"/>
        <v>46324.650590393518</v>
      </c>
      <c r="P147" s="5">
        <f t="shared" ca="1" si="18"/>
        <v>46324</v>
      </c>
      <c r="Q147" t="str">
        <f t="shared" si="19"/>
        <v>December</v>
      </c>
      <c r="R147">
        <f t="shared" si="20"/>
        <v>11</v>
      </c>
      <c r="T147">
        <v>29</v>
      </c>
      <c r="X147" t="str">
        <f t="shared" si="21"/>
        <v>GA</v>
      </c>
      <c r="AF147" t="str">
        <f t="shared" si="22"/>
        <v>no match</v>
      </c>
    </row>
    <row r="148" spans="1:32" ht="29" x14ac:dyDescent="0.35">
      <c r="A148" s="1" t="s">
        <v>335</v>
      </c>
      <c r="B148" s="2">
        <v>45613</v>
      </c>
      <c r="C148" s="1" t="s">
        <v>282</v>
      </c>
      <c r="D148" s="1" t="s">
        <v>283</v>
      </c>
      <c r="E148" s="1" t="s">
        <v>93</v>
      </c>
      <c r="F148" s="1" t="s">
        <v>94</v>
      </c>
      <c r="G148" s="1" t="s">
        <v>29</v>
      </c>
      <c r="H148" s="3">
        <v>5</v>
      </c>
      <c r="I148" s="26">
        <v>149.99</v>
      </c>
      <c r="J148" s="1" t="s">
        <v>71</v>
      </c>
      <c r="K148" s="1" t="s">
        <v>89</v>
      </c>
      <c r="L148" s="1" t="s">
        <v>73</v>
      </c>
      <c r="M148" s="2">
        <v>44869</v>
      </c>
      <c r="N148" s="25">
        <f t="shared" si="16"/>
        <v>749.95</v>
      </c>
      <c r="O148" s="4">
        <f t="shared" ca="1" si="17"/>
        <v>46324.650590393518</v>
      </c>
      <c r="P148" s="5">
        <f t="shared" ca="1" si="18"/>
        <v>46324</v>
      </c>
      <c r="Q148" t="str">
        <f t="shared" si="19"/>
        <v>December</v>
      </c>
      <c r="R148">
        <f t="shared" si="20"/>
        <v>24</v>
      </c>
      <c r="T148">
        <v>35</v>
      </c>
      <c r="X148" t="str">
        <f t="shared" si="21"/>
        <v>SP</v>
      </c>
      <c r="AF148" t="str">
        <f t="shared" si="22"/>
        <v>no match</v>
      </c>
    </row>
    <row r="149" spans="1:32" ht="29" x14ac:dyDescent="0.35">
      <c r="A149" s="1" t="s">
        <v>336</v>
      </c>
      <c r="B149" s="2">
        <v>45613</v>
      </c>
      <c r="C149" s="1" t="s">
        <v>134</v>
      </c>
      <c r="D149" s="1" t="s">
        <v>135</v>
      </c>
      <c r="E149" s="1" t="s">
        <v>128</v>
      </c>
      <c r="F149" s="1" t="s">
        <v>129</v>
      </c>
      <c r="G149" s="1" t="s">
        <v>28</v>
      </c>
      <c r="H149" s="3">
        <v>2</v>
      </c>
      <c r="I149" s="26">
        <v>699.99</v>
      </c>
      <c r="J149" s="1" t="s">
        <v>84</v>
      </c>
      <c r="K149" s="1" t="s">
        <v>98</v>
      </c>
      <c r="L149" s="1" t="s">
        <v>85</v>
      </c>
      <c r="M149" s="2">
        <v>44770</v>
      </c>
      <c r="N149" s="25">
        <f t="shared" si="16"/>
        <v>1399.98</v>
      </c>
      <c r="O149" s="4">
        <f t="shared" ca="1" si="17"/>
        <v>46324.650590393518</v>
      </c>
      <c r="P149" s="5">
        <f t="shared" ca="1" si="18"/>
        <v>46324</v>
      </c>
      <c r="Q149" t="str">
        <f t="shared" si="19"/>
        <v>August</v>
      </c>
      <c r="R149">
        <f t="shared" si="20"/>
        <v>27</v>
      </c>
      <c r="T149">
        <v>31</v>
      </c>
      <c r="X149" t="str">
        <f t="shared" si="21"/>
        <v>MC</v>
      </c>
      <c r="AF149" t="str">
        <f t="shared" si="22"/>
        <v>no match</v>
      </c>
    </row>
    <row r="150" spans="1:32" ht="29" x14ac:dyDescent="0.35">
      <c r="A150" s="1" t="s">
        <v>337</v>
      </c>
      <c r="B150" s="2">
        <v>45617</v>
      </c>
      <c r="C150" s="1" t="s">
        <v>171</v>
      </c>
      <c r="D150" s="1" t="s">
        <v>172</v>
      </c>
      <c r="E150" s="1" t="s">
        <v>174</v>
      </c>
      <c r="F150" s="1" t="s">
        <v>175</v>
      </c>
      <c r="G150" s="1" t="s">
        <v>29</v>
      </c>
      <c r="H150" s="3">
        <v>4</v>
      </c>
      <c r="I150" s="26">
        <v>199.99</v>
      </c>
      <c r="J150" s="1" t="s">
        <v>105</v>
      </c>
      <c r="K150" s="1" t="s">
        <v>72</v>
      </c>
      <c r="L150" s="1" t="s">
        <v>78</v>
      </c>
      <c r="M150" s="2">
        <v>44427</v>
      </c>
      <c r="N150" s="25">
        <f t="shared" si="16"/>
        <v>799.96</v>
      </c>
      <c r="O150" s="4">
        <f t="shared" ca="1" si="17"/>
        <v>46324.650590393518</v>
      </c>
      <c r="P150" s="5">
        <f t="shared" ca="1" si="18"/>
        <v>46324</v>
      </c>
      <c r="Q150" t="str">
        <f t="shared" si="19"/>
        <v>September</v>
      </c>
      <c r="R150">
        <f t="shared" si="20"/>
        <v>39</v>
      </c>
      <c r="T150">
        <v>15</v>
      </c>
      <c r="X150" t="str">
        <f t="shared" si="21"/>
        <v>EM</v>
      </c>
      <c r="AF150" t="str">
        <f t="shared" si="22"/>
        <v>no match</v>
      </c>
    </row>
    <row r="151" spans="1:32" ht="29" x14ac:dyDescent="0.35">
      <c r="A151" s="1" t="s">
        <v>338</v>
      </c>
      <c r="B151" s="2">
        <v>45619</v>
      </c>
      <c r="C151" s="1" t="s">
        <v>240</v>
      </c>
      <c r="D151" s="1" t="s">
        <v>241</v>
      </c>
      <c r="E151" s="1" t="s">
        <v>82</v>
      </c>
      <c r="F151" s="1" t="s">
        <v>83</v>
      </c>
      <c r="G151" s="1" t="s">
        <v>27</v>
      </c>
      <c r="H151" s="3">
        <v>1</v>
      </c>
      <c r="I151" s="26">
        <v>59.99</v>
      </c>
      <c r="J151" s="1" t="s">
        <v>105</v>
      </c>
      <c r="K151" s="1" t="s">
        <v>98</v>
      </c>
      <c r="L151" s="1" t="s">
        <v>85</v>
      </c>
      <c r="M151" s="2">
        <v>44560</v>
      </c>
      <c r="N151" s="25">
        <f t="shared" si="16"/>
        <v>59.99</v>
      </c>
      <c r="O151" s="4">
        <f t="shared" ca="1" si="17"/>
        <v>46324.650590393518</v>
      </c>
      <c r="P151" s="5">
        <f t="shared" ca="1" si="18"/>
        <v>46324</v>
      </c>
      <c r="Q151" t="str">
        <f t="shared" si="19"/>
        <v>January</v>
      </c>
      <c r="R151">
        <f t="shared" si="20"/>
        <v>34</v>
      </c>
      <c r="T151">
        <v>29</v>
      </c>
      <c r="X151" t="str">
        <f t="shared" si="21"/>
        <v>FT</v>
      </c>
      <c r="AF151">
        <f t="shared" si="22"/>
        <v>59.99</v>
      </c>
    </row>
    <row r="152" spans="1:32" ht="29" x14ac:dyDescent="0.35">
      <c r="A152" s="1" t="s">
        <v>339</v>
      </c>
      <c r="B152" s="2">
        <v>45619</v>
      </c>
      <c r="C152" s="1" t="s">
        <v>202</v>
      </c>
      <c r="D152" s="1" t="s">
        <v>203</v>
      </c>
      <c r="E152" s="1" t="s">
        <v>128</v>
      </c>
      <c r="F152" s="1" t="s">
        <v>129</v>
      </c>
      <c r="G152" s="1" t="s">
        <v>28</v>
      </c>
      <c r="H152" s="3">
        <v>3</v>
      </c>
      <c r="I152" s="26">
        <v>699.99</v>
      </c>
      <c r="J152" s="1" t="s">
        <v>84</v>
      </c>
      <c r="K152" s="1" t="s">
        <v>98</v>
      </c>
      <c r="L152" s="1" t="s">
        <v>85</v>
      </c>
      <c r="M152" s="2">
        <v>44583</v>
      </c>
      <c r="N152" s="25">
        <f t="shared" si="16"/>
        <v>2099.9700000000003</v>
      </c>
      <c r="O152" s="4">
        <f t="shared" ca="1" si="17"/>
        <v>46324.650590393518</v>
      </c>
      <c r="P152" s="5">
        <f t="shared" ca="1" si="18"/>
        <v>46324</v>
      </c>
      <c r="Q152" t="str">
        <f t="shared" si="19"/>
        <v>February</v>
      </c>
      <c r="R152">
        <f t="shared" si="20"/>
        <v>34</v>
      </c>
      <c r="T152">
        <v>31</v>
      </c>
      <c r="X152" t="str">
        <f t="shared" si="21"/>
        <v>SD</v>
      </c>
      <c r="AF152" t="str">
        <f t="shared" si="22"/>
        <v>no match</v>
      </c>
    </row>
    <row r="153" spans="1:32" ht="29" x14ac:dyDescent="0.35">
      <c r="A153" s="1" t="s">
        <v>340</v>
      </c>
      <c r="B153" s="2">
        <v>45622</v>
      </c>
      <c r="C153" s="1" t="s">
        <v>341</v>
      </c>
      <c r="D153" s="1" t="s">
        <v>342</v>
      </c>
      <c r="E153" s="1" t="s">
        <v>69</v>
      </c>
      <c r="F153" s="1" t="s">
        <v>70</v>
      </c>
      <c r="G153" s="1" t="s">
        <v>28</v>
      </c>
      <c r="H153" s="3">
        <v>5</v>
      </c>
      <c r="I153" s="26">
        <v>249.99</v>
      </c>
      <c r="J153" s="1" t="s">
        <v>77</v>
      </c>
      <c r="K153" s="1" t="s">
        <v>89</v>
      </c>
      <c r="L153" s="1" t="s">
        <v>73</v>
      </c>
      <c r="M153" s="2">
        <v>44873</v>
      </c>
      <c r="N153" s="25">
        <f t="shared" si="16"/>
        <v>1249.95</v>
      </c>
      <c r="O153" s="4">
        <f t="shared" ca="1" si="17"/>
        <v>46324.650590393518</v>
      </c>
      <c r="P153" s="5">
        <f t="shared" ca="1" si="18"/>
        <v>46324</v>
      </c>
      <c r="Q153" t="str">
        <f t="shared" si="19"/>
        <v>December</v>
      </c>
      <c r="R153">
        <f t="shared" si="20"/>
        <v>24</v>
      </c>
      <c r="T153">
        <v>26</v>
      </c>
      <c r="X153" t="str">
        <f t="shared" si="21"/>
        <v>DW</v>
      </c>
      <c r="AF153" t="str">
        <f t="shared" si="22"/>
        <v>no match</v>
      </c>
    </row>
    <row r="154" spans="1:32" ht="29" x14ac:dyDescent="0.35">
      <c r="A154" s="1" t="s">
        <v>343</v>
      </c>
      <c r="B154" s="2">
        <v>45623</v>
      </c>
      <c r="C154" s="1" t="s">
        <v>160</v>
      </c>
      <c r="D154" s="1" t="s">
        <v>161</v>
      </c>
      <c r="E154" s="1" t="s">
        <v>93</v>
      </c>
      <c r="F154" s="1" t="s">
        <v>94</v>
      </c>
      <c r="G154" s="1" t="s">
        <v>29</v>
      </c>
      <c r="H154" s="3">
        <v>2</v>
      </c>
      <c r="I154" s="26">
        <v>149.99</v>
      </c>
      <c r="J154" s="1" t="s">
        <v>71</v>
      </c>
      <c r="K154" s="1" t="s">
        <v>52</v>
      </c>
      <c r="L154" s="1" t="s">
        <v>85</v>
      </c>
      <c r="M154" s="2">
        <v>45101</v>
      </c>
      <c r="N154" s="25">
        <f t="shared" si="16"/>
        <v>299.98</v>
      </c>
      <c r="O154" s="4">
        <f t="shared" ca="1" si="17"/>
        <v>46324.650590393518</v>
      </c>
      <c r="P154" s="5">
        <f t="shared" ca="1" si="18"/>
        <v>46324</v>
      </c>
      <c r="Q154" t="str">
        <f t="shared" si="19"/>
        <v>July</v>
      </c>
      <c r="R154">
        <f t="shared" si="20"/>
        <v>17</v>
      </c>
      <c r="T154">
        <v>35</v>
      </c>
      <c r="X154" t="str">
        <f t="shared" si="21"/>
        <v>LM</v>
      </c>
      <c r="AF154" t="str">
        <f t="shared" si="22"/>
        <v>no match</v>
      </c>
    </row>
    <row r="155" spans="1:32" ht="29" x14ac:dyDescent="0.35">
      <c r="A155" s="1" t="s">
        <v>344</v>
      </c>
      <c r="B155" s="2">
        <v>45627</v>
      </c>
      <c r="C155" s="1" t="s">
        <v>80</v>
      </c>
      <c r="D155" s="1" t="s">
        <v>81</v>
      </c>
      <c r="E155" s="1" t="s">
        <v>153</v>
      </c>
      <c r="F155" s="1" t="s">
        <v>154</v>
      </c>
      <c r="G155" s="1" t="s">
        <v>29</v>
      </c>
      <c r="H155" s="3">
        <v>3</v>
      </c>
      <c r="I155" s="26">
        <v>299.99</v>
      </c>
      <c r="J155" s="1" t="s">
        <v>71</v>
      </c>
      <c r="K155" s="1" t="s">
        <v>52</v>
      </c>
      <c r="L155" s="1" t="s">
        <v>78</v>
      </c>
      <c r="M155" s="2">
        <v>44659</v>
      </c>
      <c r="N155" s="25">
        <f t="shared" si="16"/>
        <v>899.97</v>
      </c>
      <c r="O155" s="4">
        <f t="shared" ca="1" si="17"/>
        <v>46324.650590393518</v>
      </c>
      <c r="P155" s="5">
        <f t="shared" ca="1" si="18"/>
        <v>46324</v>
      </c>
      <c r="Q155" t="str">
        <f t="shared" si="19"/>
        <v>May</v>
      </c>
      <c r="R155">
        <f t="shared" si="20"/>
        <v>31</v>
      </c>
      <c r="T155">
        <v>26</v>
      </c>
      <c r="X155" t="str">
        <f t="shared" si="21"/>
        <v>KS</v>
      </c>
      <c r="AF155" t="str">
        <f t="shared" si="22"/>
        <v>no match</v>
      </c>
    </row>
    <row r="156" spans="1:32" ht="29" x14ac:dyDescent="0.35">
      <c r="A156" s="1" t="s">
        <v>345</v>
      </c>
      <c r="B156" s="2">
        <v>45627</v>
      </c>
      <c r="C156" s="1" t="s">
        <v>103</v>
      </c>
      <c r="D156" s="1" t="s">
        <v>104</v>
      </c>
      <c r="E156" s="1" t="s">
        <v>69</v>
      </c>
      <c r="F156" s="1" t="s">
        <v>70</v>
      </c>
      <c r="G156" s="1" t="s">
        <v>28</v>
      </c>
      <c r="H156" s="3">
        <v>5</v>
      </c>
      <c r="I156" s="26">
        <v>249.99</v>
      </c>
      <c r="J156" s="1" t="s">
        <v>71</v>
      </c>
      <c r="K156" s="1" t="s">
        <v>72</v>
      </c>
      <c r="L156" s="1" t="s">
        <v>78</v>
      </c>
      <c r="M156" s="2">
        <v>44485</v>
      </c>
      <c r="N156" s="25">
        <f t="shared" si="16"/>
        <v>1249.95</v>
      </c>
      <c r="O156" s="4">
        <f t="shared" ca="1" si="17"/>
        <v>46324.650590393518</v>
      </c>
      <c r="P156" s="5">
        <f t="shared" ca="1" si="18"/>
        <v>46324</v>
      </c>
      <c r="Q156" t="str">
        <f t="shared" si="19"/>
        <v>November</v>
      </c>
      <c r="R156">
        <f t="shared" si="20"/>
        <v>37</v>
      </c>
      <c r="T156">
        <v>26</v>
      </c>
      <c r="X156" t="str">
        <f t="shared" si="21"/>
        <v>CA</v>
      </c>
      <c r="AF156" t="str">
        <f t="shared" si="22"/>
        <v>no match</v>
      </c>
    </row>
    <row r="157" spans="1:32" ht="29" x14ac:dyDescent="0.35">
      <c r="A157" s="1" t="s">
        <v>346</v>
      </c>
      <c r="B157" s="2">
        <v>45627</v>
      </c>
      <c r="C157" s="1" t="s">
        <v>75</v>
      </c>
      <c r="D157" s="1" t="s">
        <v>76</v>
      </c>
      <c r="E157" s="1" t="s">
        <v>100</v>
      </c>
      <c r="F157" s="1" t="s">
        <v>101</v>
      </c>
      <c r="G157" s="1" t="s">
        <v>28</v>
      </c>
      <c r="H157" s="3">
        <v>2</v>
      </c>
      <c r="I157" s="26">
        <v>149.99</v>
      </c>
      <c r="J157" s="1" t="s">
        <v>71</v>
      </c>
      <c r="K157" s="1" t="s">
        <v>52</v>
      </c>
      <c r="L157" s="1" t="s">
        <v>78</v>
      </c>
      <c r="M157" s="2">
        <v>44475</v>
      </c>
      <c r="N157" s="25">
        <f t="shared" si="16"/>
        <v>299.98</v>
      </c>
      <c r="O157" s="4">
        <f t="shared" ca="1" si="17"/>
        <v>46324.650590393518</v>
      </c>
      <c r="P157" s="5">
        <f t="shared" ca="1" si="18"/>
        <v>46324</v>
      </c>
      <c r="Q157" t="str">
        <f t="shared" si="19"/>
        <v>November</v>
      </c>
      <c r="R157">
        <f t="shared" si="20"/>
        <v>37</v>
      </c>
      <c r="T157">
        <v>16</v>
      </c>
      <c r="X157" t="str">
        <f t="shared" si="21"/>
        <v>JJ</v>
      </c>
      <c r="AF157" t="str">
        <f t="shared" si="22"/>
        <v>no match</v>
      </c>
    </row>
    <row r="158" spans="1:32" ht="29" x14ac:dyDescent="0.35">
      <c r="A158" s="1" t="s">
        <v>347</v>
      </c>
      <c r="B158" s="2">
        <v>45627</v>
      </c>
      <c r="C158" s="1" t="s">
        <v>134</v>
      </c>
      <c r="D158" s="1" t="s">
        <v>135</v>
      </c>
      <c r="E158" s="1" t="s">
        <v>128</v>
      </c>
      <c r="F158" s="1" t="s">
        <v>129</v>
      </c>
      <c r="G158" s="1" t="s">
        <v>28</v>
      </c>
      <c r="H158" s="3">
        <v>5</v>
      </c>
      <c r="I158" s="26">
        <v>699.99</v>
      </c>
      <c r="J158" s="1" t="s">
        <v>105</v>
      </c>
      <c r="K158" s="1" t="s">
        <v>98</v>
      </c>
      <c r="L158" s="1" t="s">
        <v>85</v>
      </c>
      <c r="M158" s="2">
        <v>44944</v>
      </c>
      <c r="N158" s="25">
        <f t="shared" si="16"/>
        <v>3499.95</v>
      </c>
      <c r="O158" s="4">
        <f t="shared" ca="1" si="17"/>
        <v>46324.650590393518</v>
      </c>
      <c r="P158" s="5">
        <f t="shared" ca="1" si="18"/>
        <v>46324</v>
      </c>
      <c r="Q158" t="str">
        <f t="shared" si="19"/>
        <v>February</v>
      </c>
      <c r="R158">
        <f t="shared" si="20"/>
        <v>22</v>
      </c>
      <c r="T158">
        <v>31</v>
      </c>
      <c r="X158" t="str">
        <f t="shared" si="21"/>
        <v>MC</v>
      </c>
      <c r="AF158" t="str">
        <f t="shared" si="22"/>
        <v>no match</v>
      </c>
    </row>
    <row r="159" spans="1:32" ht="29" x14ac:dyDescent="0.35">
      <c r="A159" s="1" t="s">
        <v>348</v>
      </c>
      <c r="B159" s="2">
        <v>45629</v>
      </c>
      <c r="C159" s="1" t="s">
        <v>300</v>
      </c>
      <c r="D159" s="1" t="s">
        <v>301</v>
      </c>
      <c r="E159" s="1" t="s">
        <v>69</v>
      </c>
      <c r="F159" s="1" t="s">
        <v>70</v>
      </c>
      <c r="G159" s="1" t="s">
        <v>28</v>
      </c>
      <c r="H159" s="3">
        <v>4</v>
      </c>
      <c r="I159" s="26">
        <v>249.99</v>
      </c>
      <c r="J159" s="1" t="s">
        <v>84</v>
      </c>
      <c r="K159" s="1" t="s">
        <v>111</v>
      </c>
      <c r="L159" s="1" t="s">
        <v>78</v>
      </c>
      <c r="M159" s="2">
        <v>45098</v>
      </c>
      <c r="N159" s="25">
        <f t="shared" si="16"/>
        <v>999.96</v>
      </c>
      <c r="O159" s="4">
        <f t="shared" ca="1" si="17"/>
        <v>46324.650590393518</v>
      </c>
      <c r="P159" s="5">
        <f t="shared" ca="1" si="18"/>
        <v>46324</v>
      </c>
      <c r="Q159" t="str">
        <f t="shared" si="19"/>
        <v>July</v>
      </c>
      <c r="R159">
        <f t="shared" si="20"/>
        <v>17</v>
      </c>
      <c r="T159">
        <v>26</v>
      </c>
      <c r="X159" t="str">
        <f t="shared" si="21"/>
        <v>WW</v>
      </c>
      <c r="AF159" t="str">
        <f t="shared" si="22"/>
        <v>no match</v>
      </c>
    </row>
    <row r="160" spans="1:32" ht="29" x14ac:dyDescent="0.35">
      <c r="A160" s="1" t="s">
        <v>349</v>
      </c>
      <c r="B160" s="2">
        <v>45630</v>
      </c>
      <c r="C160" s="1" t="s">
        <v>96</v>
      </c>
      <c r="D160" s="1" t="s">
        <v>97</v>
      </c>
      <c r="E160" s="1" t="s">
        <v>128</v>
      </c>
      <c r="F160" s="1" t="s">
        <v>129</v>
      </c>
      <c r="G160" s="1" t="s">
        <v>28</v>
      </c>
      <c r="H160" s="3">
        <v>4</v>
      </c>
      <c r="I160" s="26">
        <v>699.99</v>
      </c>
      <c r="J160" s="1" t="s">
        <v>77</v>
      </c>
      <c r="K160" s="1" t="s">
        <v>89</v>
      </c>
      <c r="L160" s="1" t="s">
        <v>78</v>
      </c>
      <c r="M160" s="2">
        <v>44703</v>
      </c>
      <c r="N160" s="25">
        <f t="shared" si="16"/>
        <v>2799.96</v>
      </c>
      <c r="O160" s="4">
        <f t="shared" ca="1" si="17"/>
        <v>46324.650590393518</v>
      </c>
      <c r="P160" s="5">
        <f t="shared" ca="1" si="18"/>
        <v>46324</v>
      </c>
      <c r="Q160" t="str">
        <f t="shared" si="19"/>
        <v>June</v>
      </c>
      <c r="R160">
        <f t="shared" si="20"/>
        <v>30</v>
      </c>
      <c r="T160">
        <v>31</v>
      </c>
      <c r="X160" t="str">
        <f t="shared" si="21"/>
        <v>DN</v>
      </c>
      <c r="AF160" t="str">
        <f t="shared" si="22"/>
        <v>no match</v>
      </c>
    </row>
    <row r="161" spans="1:32" ht="29" x14ac:dyDescent="0.35">
      <c r="A161" s="1" t="s">
        <v>350</v>
      </c>
      <c r="B161" s="2">
        <v>45635</v>
      </c>
      <c r="C161" s="1" t="s">
        <v>156</v>
      </c>
      <c r="D161" s="1" t="s">
        <v>157</v>
      </c>
      <c r="E161" s="1" t="s">
        <v>69</v>
      </c>
      <c r="F161" s="1" t="s">
        <v>70</v>
      </c>
      <c r="G161" s="1" t="s">
        <v>28</v>
      </c>
      <c r="H161" s="3">
        <v>2</v>
      </c>
      <c r="I161" s="26">
        <v>249.99</v>
      </c>
      <c r="J161" s="1" t="s">
        <v>77</v>
      </c>
      <c r="K161" s="1" t="s">
        <v>72</v>
      </c>
      <c r="L161" s="1" t="s">
        <v>78</v>
      </c>
      <c r="M161" s="2">
        <v>44396</v>
      </c>
      <c r="N161" s="25">
        <f t="shared" si="16"/>
        <v>499.98</v>
      </c>
      <c r="O161" s="4">
        <f t="shared" ca="1" si="17"/>
        <v>46324.650590393518</v>
      </c>
      <c r="P161" s="5">
        <f t="shared" ca="1" si="18"/>
        <v>46324</v>
      </c>
      <c r="Q161" t="str">
        <f t="shared" si="19"/>
        <v>August</v>
      </c>
      <c r="R161">
        <f t="shared" si="20"/>
        <v>40</v>
      </c>
      <c r="T161">
        <v>26</v>
      </c>
      <c r="X161" t="str">
        <f t="shared" si="21"/>
        <v>NC</v>
      </c>
      <c r="AF161" t="str">
        <f t="shared" si="22"/>
        <v>no match</v>
      </c>
    </row>
    <row r="162" spans="1:32" ht="29" x14ac:dyDescent="0.35">
      <c r="A162" s="1" t="s">
        <v>351</v>
      </c>
      <c r="B162" s="2">
        <v>45635</v>
      </c>
      <c r="C162" s="1" t="s">
        <v>352</v>
      </c>
      <c r="D162" s="1" t="s">
        <v>353</v>
      </c>
      <c r="E162" s="1" t="s">
        <v>82</v>
      </c>
      <c r="F162" s="1" t="s">
        <v>83</v>
      </c>
      <c r="G162" s="1" t="s">
        <v>27</v>
      </c>
      <c r="H162" s="3">
        <v>3</v>
      </c>
      <c r="I162" s="26">
        <v>59.99</v>
      </c>
      <c r="J162" s="1" t="s">
        <v>71</v>
      </c>
      <c r="K162" s="1" t="s">
        <v>72</v>
      </c>
      <c r="L162" s="1" t="s">
        <v>78</v>
      </c>
      <c r="M162" s="2">
        <v>45052</v>
      </c>
      <c r="N162" s="25">
        <f t="shared" si="16"/>
        <v>179.97</v>
      </c>
      <c r="O162" s="4">
        <f t="shared" ca="1" si="17"/>
        <v>46324.650590393518</v>
      </c>
      <c r="P162" s="5">
        <f t="shared" ca="1" si="18"/>
        <v>46324</v>
      </c>
      <c r="Q162" t="str">
        <f t="shared" si="19"/>
        <v>June</v>
      </c>
      <c r="R162">
        <f t="shared" si="20"/>
        <v>19</v>
      </c>
      <c r="T162">
        <v>29</v>
      </c>
      <c r="X162" t="str">
        <f t="shared" si="21"/>
        <v>JJ</v>
      </c>
      <c r="AF162" t="str">
        <f t="shared" si="22"/>
        <v>no match</v>
      </c>
    </row>
    <row r="163" spans="1:32" ht="29" x14ac:dyDescent="0.35">
      <c r="A163" s="1" t="s">
        <v>354</v>
      </c>
      <c r="B163" s="2">
        <v>45635</v>
      </c>
      <c r="C163" s="1" t="s">
        <v>189</v>
      </c>
      <c r="D163" s="1" t="s">
        <v>190</v>
      </c>
      <c r="E163" s="1" t="s">
        <v>162</v>
      </c>
      <c r="F163" s="1" t="s">
        <v>163</v>
      </c>
      <c r="G163" s="1" t="s">
        <v>27</v>
      </c>
      <c r="H163" s="3">
        <v>4</v>
      </c>
      <c r="I163" s="26">
        <v>79.989999999999995</v>
      </c>
      <c r="J163" s="1" t="s">
        <v>105</v>
      </c>
      <c r="K163" s="1" t="s">
        <v>111</v>
      </c>
      <c r="L163" s="1" t="s">
        <v>85</v>
      </c>
      <c r="M163" s="2">
        <v>44921</v>
      </c>
      <c r="N163" s="25">
        <f t="shared" si="16"/>
        <v>319.95999999999998</v>
      </c>
      <c r="O163" s="4">
        <f t="shared" ca="1" si="17"/>
        <v>46324.650590393518</v>
      </c>
      <c r="P163" s="5">
        <f t="shared" ca="1" si="18"/>
        <v>46324</v>
      </c>
      <c r="Q163" t="str">
        <f t="shared" si="19"/>
        <v>January</v>
      </c>
      <c r="R163">
        <f t="shared" si="20"/>
        <v>23</v>
      </c>
      <c r="T163">
        <v>14</v>
      </c>
      <c r="X163" t="str">
        <f t="shared" si="21"/>
        <v>JT</v>
      </c>
      <c r="AF163" t="str">
        <f t="shared" si="22"/>
        <v>no match</v>
      </c>
    </row>
    <row r="164" spans="1:32" ht="29" x14ac:dyDescent="0.35">
      <c r="A164" s="1" t="s">
        <v>355</v>
      </c>
      <c r="B164" s="2">
        <v>45636</v>
      </c>
      <c r="C164" s="1" t="s">
        <v>168</v>
      </c>
      <c r="D164" s="1" t="s">
        <v>169</v>
      </c>
      <c r="E164" s="1" t="s">
        <v>162</v>
      </c>
      <c r="F164" s="1" t="s">
        <v>163</v>
      </c>
      <c r="G164" s="1" t="s">
        <v>27</v>
      </c>
      <c r="H164" s="3">
        <v>3</v>
      </c>
      <c r="I164" s="26">
        <v>79.989999999999995</v>
      </c>
      <c r="J164" s="1" t="s">
        <v>105</v>
      </c>
      <c r="K164" s="1" t="s">
        <v>111</v>
      </c>
      <c r="L164" s="1" t="s">
        <v>85</v>
      </c>
      <c r="M164" s="2">
        <v>44779</v>
      </c>
      <c r="N164" s="25">
        <f t="shared" si="16"/>
        <v>239.96999999999997</v>
      </c>
      <c r="O164" s="4">
        <f t="shared" ca="1" si="17"/>
        <v>46324.650590393518</v>
      </c>
      <c r="P164" s="5">
        <f t="shared" ca="1" si="18"/>
        <v>46324</v>
      </c>
      <c r="Q164" t="str">
        <f t="shared" si="19"/>
        <v>September</v>
      </c>
      <c r="R164">
        <f t="shared" si="20"/>
        <v>28</v>
      </c>
      <c r="T164">
        <v>14</v>
      </c>
      <c r="X164" t="str">
        <f t="shared" si="21"/>
        <v>HR</v>
      </c>
      <c r="AF164" t="str">
        <f t="shared" si="22"/>
        <v>no match</v>
      </c>
    </row>
    <row r="165" spans="1:32" ht="43.5" x14ac:dyDescent="0.35">
      <c r="A165" s="1" t="s">
        <v>356</v>
      </c>
      <c r="B165" s="2">
        <v>45638</v>
      </c>
      <c r="C165" s="1" t="s">
        <v>120</v>
      </c>
      <c r="D165" s="1" t="s">
        <v>121</v>
      </c>
      <c r="E165" s="1" t="s">
        <v>109</v>
      </c>
      <c r="F165" s="1" t="s">
        <v>110</v>
      </c>
      <c r="G165" s="1" t="s">
        <v>28</v>
      </c>
      <c r="H165" s="3">
        <v>2</v>
      </c>
      <c r="I165" s="26">
        <v>899.99</v>
      </c>
      <c r="J165" s="1" t="s">
        <v>71</v>
      </c>
      <c r="K165" s="1" t="s">
        <v>89</v>
      </c>
      <c r="L165" s="1" t="s">
        <v>73</v>
      </c>
      <c r="M165" s="2">
        <v>44406</v>
      </c>
      <c r="N165" s="25">
        <f t="shared" si="16"/>
        <v>1799.98</v>
      </c>
      <c r="O165" s="4">
        <f t="shared" ca="1" si="17"/>
        <v>46324.650590393518</v>
      </c>
      <c r="P165" s="5">
        <f t="shared" ca="1" si="18"/>
        <v>46324</v>
      </c>
      <c r="Q165" t="str">
        <f t="shared" si="19"/>
        <v>August</v>
      </c>
      <c r="R165">
        <f t="shared" si="20"/>
        <v>40</v>
      </c>
      <c r="T165">
        <v>24</v>
      </c>
      <c r="X165" t="str">
        <f t="shared" si="21"/>
        <v>PR</v>
      </c>
      <c r="AF165" t="str">
        <f t="shared" si="22"/>
        <v>no match</v>
      </c>
    </row>
    <row r="166" spans="1:32" ht="29" x14ac:dyDescent="0.35">
      <c r="A166" s="1" t="s">
        <v>357</v>
      </c>
      <c r="B166" s="2">
        <v>45641</v>
      </c>
      <c r="C166" s="1" t="s">
        <v>230</v>
      </c>
      <c r="D166" s="1" t="s">
        <v>231</v>
      </c>
      <c r="E166" s="1" t="s">
        <v>93</v>
      </c>
      <c r="F166" s="1" t="s">
        <v>94</v>
      </c>
      <c r="G166" s="1" t="s">
        <v>29</v>
      </c>
      <c r="H166" s="3">
        <v>1</v>
      </c>
      <c r="I166" s="26">
        <v>149.99</v>
      </c>
      <c r="J166" s="1" t="s">
        <v>105</v>
      </c>
      <c r="K166" s="1" t="s">
        <v>111</v>
      </c>
      <c r="L166" s="1" t="s">
        <v>85</v>
      </c>
      <c r="M166" s="2">
        <v>45200</v>
      </c>
      <c r="N166" s="25">
        <f t="shared" si="16"/>
        <v>149.99</v>
      </c>
      <c r="O166" s="4">
        <f t="shared" ca="1" si="17"/>
        <v>46324.650590393518</v>
      </c>
      <c r="P166" s="5">
        <f t="shared" ca="1" si="18"/>
        <v>46324</v>
      </c>
      <c r="Q166" t="str">
        <f t="shared" si="19"/>
        <v>November</v>
      </c>
      <c r="R166">
        <f t="shared" si="20"/>
        <v>14</v>
      </c>
      <c r="T166">
        <v>35</v>
      </c>
      <c r="X166" t="str">
        <f t="shared" si="21"/>
        <v>DM</v>
      </c>
      <c r="AF166">
        <f t="shared" si="22"/>
        <v>149.99</v>
      </c>
    </row>
    <row r="167" spans="1:32" ht="29" x14ac:dyDescent="0.35">
      <c r="A167" s="1" t="s">
        <v>358</v>
      </c>
      <c r="B167" s="2">
        <v>45641</v>
      </c>
      <c r="C167" s="1" t="s">
        <v>186</v>
      </c>
      <c r="D167" s="1" t="s">
        <v>187</v>
      </c>
      <c r="E167" s="1" t="s">
        <v>153</v>
      </c>
      <c r="F167" s="1" t="s">
        <v>154</v>
      </c>
      <c r="G167" s="1" t="s">
        <v>29</v>
      </c>
      <c r="H167" s="3">
        <v>2</v>
      </c>
      <c r="I167" s="26">
        <v>299.99</v>
      </c>
      <c r="J167" s="1" t="s">
        <v>71</v>
      </c>
      <c r="K167" s="1" t="s">
        <v>111</v>
      </c>
      <c r="L167" s="1" t="s">
        <v>78</v>
      </c>
      <c r="M167" s="2">
        <v>44724</v>
      </c>
      <c r="N167" s="25">
        <f t="shared" si="16"/>
        <v>599.98</v>
      </c>
      <c r="O167" s="4">
        <f t="shared" ca="1" si="17"/>
        <v>46324.650590393518</v>
      </c>
      <c r="P167" s="5">
        <f t="shared" ca="1" si="18"/>
        <v>46324</v>
      </c>
      <c r="Q167" t="str">
        <f t="shared" si="19"/>
        <v>July</v>
      </c>
      <c r="R167">
        <f t="shared" si="20"/>
        <v>30</v>
      </c>
      <c r="T167">
        <v>26</v>
      </c>
      <c r="X167" t="str">
        <f t="shared" si="21"/>
        <v>ST</v>
      </c>
      <c r="AF167" t="str">
        <f t="shared" si="22"/>
        <v>no match</v>
      </c>
    </row>
    <row r="168" spans="1:32" ht="29" x14ac:dyDescent="0.35">
      <c r="A168" s="1" t="s">
        <v>359</v>
      </c>
      <c r="B168" s="2">
        <v>45644</v>
      </c>
      <c r="C168" s="1" t="s">
        <v>180</v>
      </c>
      <c r="D168" s="1" t="s">
        <v>181</v>
      </c>
      <c r="E168" s="1" t="s">
        <v>82</v>
      </c>
      <c r="F168" s="1" t="s">
        <v>83</v>
      </c>
      <c r="G168" s="1" t="s">
        <v>27</v>
      </c>
      <c r="H168" s="3">
        <v>2</v>
      </c>
      <c r="I168" s="26">
        <v>59.99</v>
      </c>
      <c r="J168" s="1" t="s">
        <v>71</v>
      </c>
      <c r="K168" s="1" t="s">
        <v>98</v>
      </c>
      <c r="L168" s="1" t="s">
        <v>73</v>
      </c>
      <c r="M168" s="2">
        <v>45191</v>
      </c>
      <c r="N168" s="25">
        <f t="shared" si="16"/>
        <v>119.98</v>
      </c>
      <c r="O168" s="4">
        <f t="shared" ca="1" si="17"/>
        <v>46324.650590393518</v>
      </c>
      <c r="P168" s="5">
        <f t="shared" ca="1" si="18"/>
        <v>46324</v>
      </c>
      <c r="Q168" t="str">
        <f t="shared" si="19"/>
        <v>October</v>
      </c>
      <c r="R168">
        <f t="shared" si="20"/>
        <v>14</v>
      </c>
      <c r="T168">
        <v>29</v>
      </c>
      <c r="X168" t="str">
        <f t="shared" si="21"/>
        <v>EW</v>
      </c>
      <c r="AF168" t="str">
        <f t="shared" si="22"/>
        <v>no match</v>
      </c>
    </row>
    <row r="169" spans="1:32" ht="29" x14ac:dyDescent="0.35">
      <c r="A169" s="1" t="s">
        <v>360</v>
      </c>
      <c r="B169" s="2">
        <v>45645</v>
      </c>
      <c r="C169" s="1" t="s">
        <v>230</v>
      </c>
      <c r="D169" s="1" t="s">
        <v>231</v>
      </c>
      <c r="E169" s="1" t="s">
        <v>165</v>
      </c>
      <c r="F169" s="1" t="s">
        <v>166</v>
      </c>
      <c r="G169" s="1" t="s">
        <v>28</v>
      </c>
      <c r="H169" s="3">
        <v>1</v>
      </c>
      <c r="I169" s="26">
        <v>89.99</v>
      </c>
      <c r="J169" s="1" t="s">
        <v>105</v>
      </c>
      <c r="K169" s="1" t="s">
        <v>72</v>
      </c>
      <c r="L169" s="1" t="s">
        <v>85</v>
      </c>
      <c r="M169" s="2">
        <v>44760</v>
      </c>
      <c r="N169" s="25">
        <f t="shared" si="16"/>
        <v>89.99</v>
      </c>
      <c r="O169" s="4">
        <f t="shared" ca="1" si="17"/>
        <v>46324.650590393518</v>
      </c>
      <c r="P169" s="5">
        <f t="shared" ca="1" si="18"/>
        <v>46324</v>
      </c>
      <c r="Q169" t="str">
        <f t="shared" si="19"/>
        <v>August</v>
      </c>
      <c r="R169">
        <f t="shared" si="20"/>
        <v>29</v>
      </c>
      <c r="T169">
        <v>34</v>
      </c>
      <c r="X169" t="str">
        <f t="shared" si="21"/>
        <v>DM</v>
      </c>
      <c r="AF169">
        <f t="shared" si="22"/>
        <v>89.99</v>
      </c>
    </row>
    <row r="170" spans="1:32" ht="29" x14ac:dyDescent="0.35">
      <c r="A170" s="1" t="s">
        <v>361</v>
      </c>
      <c r="B170" s="2">
        <v>45645</v>
      </c>
      <c r="C170" s="1" t="s">
        <v>195</v>
      </c>
      <c r="D170" s="1" t="s">
        <v>196</v>
      </c>
      <c r="E170" s="1" t="s">
        <v>109</v>
      </c>
      <c r="F170" s="1" t="s">
        <v>110</v>
      </c>
      <c r="G170" s="1" t="s">
        <v>28</v>
      </c>
      <c r="H170" s="3">
        <v>5</v>
      </c>
      <c r="I170" s="26">
        <v>899.99</v>
      </c>
      <c r="J170" s="1" t="s">
        <v>105</v>
      </c>
      <c r="K170" s="1" t="s">
        <v>111</v>
      </c>
      <c r="L170" s="1" t="s">
        <v>85</v>
      </c>
      <c r="M170" s="2">
        <v>44625</v>
      </c>
      <c r="N170" s="25">
        <f t="shared" si="16"/>
        <v>4499.95</v>
      </c>
      <c r="O170" s="4">
        <f t="shared" ca="1" si="17"/>
        <v>46324.650590393518</v>
      </c>
      <c r="P170" s="5">
        <f t="shared" ca="1" si="18"/>
        <v>46324</v>
      </c>
      <c r="Q170" t="str">
        <f t="shared" si="19"/>
        <v>April</v>
      </c>
      <c r="R170">
        <f t="shared" si="20"/>
        <v>33</v>
      </c>
      <c r="T170">
        <v>24</v>
      </c>
      <c r="X170" t="str">
        <f t="shared" si="21"/>
        <v>DK</v>
      </c>
      <c r="AF170" t="str">
        <f t="shared" si="22"/>
        <v>no match</v>
      </c>
    </row>
    <row r="171" spans="1:32" ht="29" x14ac:dyDescent="0.35">
      <c r="A171" s="1" t="s">
        <v>362</v>
      </c>
      <c r="B171" s="2">
        <v>45646</v>
      </c>
      <c r="C171" s="1" t="s">
        <v>91</v>
      </c>
      <c r="D171" s="1" t="s">
        <v>92</v>
      </c>
      <c r="E171" s="1" t="s">
        <v>93</v>
      </c>
      <c r="F171" s="1" t="s">
        <v>94</v>
      </c>
      <c r="G171" s="1" t="s">
        <v>29</v>
      </c>
      <c r="H171" s="3">
        <v>2</v>
      </c>
      <c r="I171" s="26">
        <v>149.99</v>
      </c>
      <c r="J171" s="1" t="s">
        <v>71</v>
      </c>
      <c r="K171" s="1" t="s">
        <v>52</v>
      </c>
      <c r="L171" s="1" t="s">
        <v>73</v>
      </c>
      <c r="M171" s="2">
        <v>45239</v>
      </c>
      <c r="N171" s="25">
        <f t="shared" si="16"/>
        <v>299.98</v>
      </c>
      <c r="O171" s="4">
        <f t="shared" ca="1" si="17"/>
        <v>46324.650590393518</v>
      </c>
      <c r="P171" s="5">
        <f t="shared" ca="1" si="18"/>
        <v>46324</v>
      </c>
      <c r="Q171" t="str">
        <f t="shared" si="19"/>
        <v>December</v>
      </c>
      <c r="R171">
        <f t="shared" si="20"/>
        <v>13</v>
      </c>
      <c r="T171">
        <v>35</v>
      </c>
      <c r="X171" t="str">
        <f t="shared" si="21"/>
        <v>MB</v>
      </c>
      <c r="AF171" t="str">
        <f t="shared" si="22"/>
        <v>no match</v>
      </c>
    </row>
    <row r="172" spans="1:32" ht="29" x14ac:dyDescent="0.35">
      <c r="A172" s="1" t="s">
        <v>363</v>
      </c>
      <c r="B172" s="2">
        <v>45648</v>
      </c>
      <c r="C172" s="1" t="s">
        <v>160</v>
      </c>
      <c r="D172" s="1" t="s">
        <v>161</v>
      </c>
      <c r="E172" s="1" t="s">
        <v>100</v>
      </c>
      <c r="F172" s="1" t="s">
        <v>101</v>
      </c>
      <c r="G172" s="1" t="s">
        <v>28</v>
      </c>
      <c r="H172" s="3">
        <v>2</v>
      </c>
      <c r="I172" s="26">
        <v>149.99</v>
      </c>
      <c r="J172" s="1" t="s">
        <v>105</v>
      </c>
      <c r="K172" s="1" t="s">
        <v>98</v>
      </c>
      <c r="L172" s="1" t="s">
        <v>78</v>
      </c>
      <c r="M172" s="2">
        <v>45280</v>
      </c>
      <c r="N172" s="25">
        <f t="shared" si="16"/>
        <v>299.98</v>
      </c>
      <c r="O172" s="4">
        <f t="shared" ca="1" si="17"/>
        <v>46324.650590393518</v>
      </c>
      <c r="P172" s="5">
        <f t="shared" ca="1" si="18"/>
        <v>46324</v>
      </c>
      <c r="Q172" t="str">
        <f t="shared" si="19"/>
        <v>January</v>
      </c>
      <c r="R172">
        <f t="shared" si="20"/>
        <v>12</v>
      </c>
      <c r="T172">
        <v>16</v>
      </c>
      <c r="X172" t="str">
        <f t="shared" si="21"/>
        <v>LM</v>
      </c>
      <c r="AF172" t="str">
        <f t="shared" si="22"/>
        <v>no match</v>
      </c>
    </row>
    <row r="173" spans="1:32" ht="29" x14ac:dyDescent="0.35">
      <c r="A173" s="1" t="s">
        <v>364</v>
      </c>
      <c r="B173" s="2">
        <v>45648</v>
      </c>
      <c r="C173" s="1" t="s">
        <v>230</v>
      </c>
      <c r="D173" s="1" t="s">
        <v>231</v>
      </c>
      <c r="E173" s="1" t="s">
        <v>93</v>
      </c>
      <c r="F173" s="1" t="s">
        <v>94</v>
      </c>
      <c r="G173" s="1" t="s">
        <v>29</v>
      </c>
      <c r="H173" s="3">
        <v>3</v>
      </c>
      <c r="I173" s="26">
        <v>149.99</v>
      </c>
      <c r="J173" s="1" t="s">
        <v>105</v>
      </c>
      <c r="K173" s="1" t="s">
        <v>89</v>
      </c>
      <c r="L173" s="1" t="s">
        <v>85</v>
      </c>
      <c r="M173" s="2">
        <v>44522</v>
      </c>
      <c r="N173" s="25">
        <f t="shared" si="16"/>
        <v>449.97</v>
      </c>
      <c r="O173" s="4">
        <f t="shared" ca="1" si="17"/>
        <v>46324.650590393518</v>
      </c>
      <c r="P173" s="5">
        <f t="shared" ca="1" si="18"/>
        <v>46324</v>
      </c>
      <c r="Q173" t="str">
        <f t="shared" si="19"/>
        <v>December</v>
      </c>
      <c r="R173">
        <f t="shared" si="20"/>
        <v>37</v>
      </c>
      <c r="T173">
        <v>35</v>
      </c>
      <c r="X173" t="str">
        <f t="shared" si="21"/>
        <v>DM</v>
      </c>
      <c r="AF173" t="str">
        <f t="shared" si="22"/>
        <v>no match</v>
      </c>
    </row>
    <row r="174" spans="1:32" ht="29" x14ac:dyDescent="0.35">
      <c r="A174" s="1" t="s">
        <v>365</v>
      </c>
      <c r="B174" s="2">
        <v>45649</v>
      </c>
      <c r="C174" s="1" t="s">
        <v>80</v>
      </c>
      <c r="D174" s="1" t="s">
        <v>81</v>
      </c>
      <c r="E174" s="1" t="s">
        <v>153</v>
      </c>
      <c r="F174" s="1" t="s">
        <v>154</v>
      </c>
      <c r="G174" s="1" t="s">
        <v>29</v>
      </c>
      <c r="H174" s="3">
        <v>2</v>
      </c>
      <c r="I174" s="26">
        <v>299.99</v>
      </c>
      <c r="J174" s="1" t="s">
        <v>84</v>
      </c>
      <c r="K174" s="1" t="s">
        <v>52</v>
      </c>
      <c r="L174" s="1" t="s">
        <v>73</v>
      </c>
      <c r="M174" s="2">
        <v>44721</v>
      </c>
      <c r="N174" s="25">
        <f t="shared" si="16"/>
        <v>599.98</v>
      </c>
      <c r="O174" s="4">
        <f t="shared" ca="1" si="17"/>
        <v>46324.650590393518</v>
      </c>
      <c r="P174" s="5">
        <f t="shared" ca="1" si="18"/>
        <v>46324</v>
      </c>
      <c r="Q174" t="str">
        <f t="shared" si="19"/>
        <v>July</v>
      </c>
      <c r="R174">
        <f t="shared" si="20"/>
        <v>30</v>
      </c>
      <c r="T174">
        <v>26</v>
      </c>
      <c r="X174" t="str">
        <f t="shared" si="21"/>
        <v>KS</v>
      </c>
      <c r="AF174" t="str">
        <f t="shared" si="22"/>
        <v>no match</v>
      </c>
    </row>
    <row r="175" spans="1:32" ht="29" x14ac:dyDescent="0.35">
      <c r="A175" s="1" t="s">
        <v>366</v>
      </c>
      <c r="B175" s="2">
        <v>45654</v>
      </c>
      <c r="C175" s="1" t="s">
        <v>91</v>
      </c>
      <c r="D175" s="1" t="s">
        <v>92</v>
      </c>
      <c r="E175" s="1" t="s">
        <v>153</v>
      </c>
      <c r="F175" s="1" t="s">
        <v>154</v>
      </c>
      <c r="G175" s="1" t="s">
        <v>29</v>
      </c>
      <c r="H175" s="3">
        <v>2</v>
      </c>
      <c r="I175" s="26">
        <v>299.99</v>
      </c>
      <c r="J175" s="1" t="s">
        <v>71</v>
      </c>
      <c r="K175" s="1" t="s">
        <v>98</v>
      </c>
      <c r="L175" s="1" t="s">
        <v>73</v>
      </c>
      <c r="M175" s="2">
        <v>44771</v>
      </c>
      <c r="N175" s="25">
        <f t="shared" si="16"/>
        <v>599.98</v>
      </c>
      <c r="O175" s="4">
        <f t="shared" ca="1" si="17"/>
        <v>46324.650590393518</v>
      </c>
      <c r="P175" s="5">
        <f t="shared" ca="1" si="18"/>
        <v>46324</v>
      </c>
      <c r="Q175" t="str">
        <f t="shared" si="19"/>
        <v>August</v>
      </c>
      <c r="R175">
        <f t="shared" si="20"/>
        <v>28</v>
      </c>
      <c r="T175">
        <v>26</v>
      </c>
      <c r="X175" t="str">
        <f t="shared" si="21"/>
        <v>MB</v>
      </c>
      <c r="AF175" t="str">
        <f t="shared" si="22"/>
        <v>no match</v>
      </c>
    </row>
    <row r="176" spans="1:32" ht="29" x14ac:dyDescent="0.35">
      <c r="A176" s="1" t="s">
        <v>367</v>
      </c>
      <c r="B176" s="2">
        <v>45654</v>
      </c>
      <c r="C176" s="1" t="s">
        <v>168</v>
      </c>
      <c r="D176" s="1" t="s">
        <v>169</v>
      </c>
      <c r="E176" s="1" t="s">
        <v>174</v>
      </c>
      <c r="F176" s="1" t="s">
        <v>175</v>
      </c>
      <c r="G176" s="1" t="s">
        <v>29</v>
      </c>
      <c r="H176" s="3">
        <v>4</v>
      </c>
      <c r="I176" s="26">
        <v>199.99</v>
      </c>
      <c r="J176" s="1" t="s">
        <v>77</v>
      </c>
      <c r="K176" s="1" t="s">
        <v>72</v>
      </c>
      <c r="L176" s="1" t="s">
        <v>73</v>
      </c>
      <c r="M176" s="2">
        <v>44523</v>
      </c>
      <c r="N176" s="25">
        <f t="shared" si="16"/>
        <v>799.96</v>
      </c>
      <c r="O176" s="4">
        <f t="shared" ca="1" si="17"/>
        <v>46324.650590393518</v>
      </c>
      <c r="P176" s="5">
        <f t="shared" ca="1" si="18"/>
        <v>46324</v>
      </c>
      <c r="Q176" t="str">
        <f t="shared" si="19"/>
        <v>December</v>
      </c>
      <c r="R176">
        <f t="shared" si="20"/>
        <v>37</v>
      </c>
      <c r="T176">
        <v>15</v>
      </c>
      <c r="X176" t="str">
        <f t="shared" si="21"/>
        <v>HR</v>
      </c>
      <c r="AF176" t="str">
        <f t="shared" si="22"/>
        <v>no match</v>
      </c>
    </row>
    <row r="177" spans="1:32" ht="29" x14ac:dyDescent="0.35">
      <c r="A177" s="1" t="s">
        <v>368</v>
      </c>
      <c r="B177" s="2">
        <v>45655</v>
      </c>
      <c r="C177" s="1" t="s">
        <v>107</v>
      </c>
      <c r="D177" s="1" t="s">
        <v>108</v>
      </c>
      <c r="E177" s="1" t="s">
        <v>165</v>
      </c>
      <c r="F177" s="1" t="s">
        <v>166</v>
      </c>
      <c r="G177" s="1" t="s">
        <v>28</v>
      </c>
      <c r="H177" s="3">
        <v>1</v>
      </c>
      <c r="I177" s="26">
        <v>89.99</v>
      </c>
      <c r="J177" s="1" t="s">
        <v>77</v>
      </c>
      <c r="K177" s="1" t="s">
        <v>52</v>
      </c>
      <c r="L177" s="1" t="s">
        <v>78</v>
      </c>
      <c r="M177" s="2">
        <v>44591</v>
      </c>
      <c r="N177" s="25">
        <f t="shared" si="16"/>
        <v>89.99</v>
      </c>
      <c r="O177" s="4">
        <f t="shared" ca="1" si="17"/>
        <v>46324.650590393518</v>
      </c>
      <c r="P177" s="5">
        <f t="shared" ca="1" si="18"/>
        <v>46324</v>
      </c>
      <c r="Q177" t="str">
        <f t="shared" si="19"/>
        <v>February</v>
      </c>
      <c r="R177">
        <f t="shared" si="20"/>
        <v>34</v>
      </c>
      <c r="T177">
        <v>34</v>
      </c>
      <c r="X177" t="str">
        <f t="shared" si="21"/>
        <v>RT</v>
      </c>
      <c r="AF177">
        <f t="shared" si="22"/>
        <v>89.99</v>
      </c>
    </row>
    <row r="178" spans="1:32" ht="29" x14ac:dyDescent="0.35">
      <c r="A178" s="1" t="s">
        <v>369</v>
      </c>
      <c r="B178" s="2">
        <v>45655</v>
      </c>
      <c r="C178" s="1" t="s">
        <v>156</v>
      </c>
      <c r="D178" s="1" t="s">
        <v>157</v>
      </c>
      <c r="E178" s="1" t="s">
        <v>93</v>
      </c>
      <c r="F178" s="1" t="s">
        <v>94</v>
      </c>
      <c r="G178" s="1" t="s">
        <v>29</v>
      </c>
      <c r="H178" s="3">
        <v>5</v>
      </c>
      <c r="I178" s="26">
        <v>149.99</v>
      </c>
      <c r="J178" s="1" t="s">
        <v>71</v>
      </c>
      <c r="K178" s="1" t="s">
        <v>72</v>
      </c>
      <c r="L178" s="1" t="s">
        <v>78</v>
      </c>
      <c r="M178" s="2">
        <v>45347</v>
      </c>
      <c r="N178" s="25">
        <f t="shared" si="16"/>
        <v>749.95</v>
      </c>
      <c r="O178" s="4">
        <f t="shared" ca="1" si="17"/>
        <v>46324.650590393518</v>
      </c>
      <c r="P178" s="5">
        <f t="shared" ca="1" si="18"/>
        <v>46324</v>
      </c>
      <c r="Q178" t="str">
        <f t="shared" si="19"/>
        <v>March</v>
      </c>
      <c r="R178">
        <f t="shared" si="20"/>
        <v>10</v>
      </c>
      <c r="T178">
        <v>35</v>
      </c>
      <c r="X178" t="str">
        <f t="shared" si="21"/>
        <v>NC</v>
      </c>
      <c r="AF178" t="str">
        <f t="shared" si="22"/>
        <v>no match</v>
      </c>
    </row>
    <row r="179" spans="1:32" ht="29" x14ac:dyDescent="0.35">
      <c r="A179" s="1" t="s">
        <v>370</v>
      </c>
      <c r="B179" s="2">
        <v>45657</v>
      </c>
      <c r="C179" s="1" t="s">
        <v>134</v>
      </c>
      <c r="D179" s="1" t="s">
        <v>135</v>
      </c>
      <c r="E179" s="1" t="s">
        <v>109</v>
      </c>
      <c r="F179" s="1" t="s">
        <v>110</v>
      </c>
      <c r="G179" s="1" t="s">
        <v>28</v>
      </c>
      <c r="H179" s="3">
        <v>1</v>
      </c>
      <c r="I179" s="26">
        <v>899.99</v>
      </c>
      <c r="J179" s="1" t="s">
        <v>84</v>
      </c>
      <c r="K179" s="1" t="s">
        <v>89</v>
      </c>
      <c r="L179" s="1" t="s">
        <v>78</v>
      </c>
      <c r="M179" s="2">
        <v>45050</v>
      </c>
      <c r="N179" s="25">
        <f t="shared" si="16"/>
        <v>899.99</v>
      </c>
      <c r="O179" s="4">
        <f t="shared" ca="1" si="17"/>
        <v>46324.650590393518</v>
      </c>
      <c r="P179" s="5">
        <f t="shared" ca="1" si="18"/>
        <v>46324</v>
      </c>
      <c r="Q179" t="str">
        <f t="shared" si="19"/>
        <v>June</v>
      </c>
      <c r="R179">
        <f t="shared" si="20"/>
        <v>19</v>
      </c>
      <c r="T179">
        <v>24</v>
      </c>
      <c r="X179" t="str">
        <f t="shared" si="21"/>
        <v>MC</v>
      </c>
      <c r="AF179">
        <f t="shared" si="22"/>
        <v>899.99</v>
      </c>
    </row>
    <row r="180" spans="1:32" ht="29" x14ac:dyDescent="0.35">
      <c r="A180" s="1" t="s">
        <v>371</v>
      </c>
      <c r="B180" s="2">
        <v>45660</v>
      </c>
      <c r="C180" s="1" t="s">
        <v>195</v>
      </c>
      <c r="D180" s="1" t="s">
        <v>196</v>
      </c>
      <c r="E180" s="1" t="s">
        <v>165</v>
      </c>
      <c r="F180" s="1" t="s">
        <v>166</v>
      </c>
      <c r="G180" s="1" t="s">
        <v>28</v>
      </c>
      <c r="H180" s="3">
        <v>2</v>
      </c>
      <c r="I180" s="26">
        <v>89.99</v>
      </c>
      <c r="J180" s="1" t="s">
        <v>77</v>
      </c>
      <c r="K180" s="1" t="s">
        <v>52</v>
      </c>
      <c r="L180" s="1" t="s">
        <v>78</v>
      </c>
      <c r="M180" s="2">
        <v>44564</v>
      </c>
      <c r="N180" s="25">
        <f t="shared" si="16"/>
        <v>179.98</v>
      </c>
      <c r="O180" s="4">
        <f t="shared" ca="1" si="17"/>
        <v>46324.650590393518</v>
      </c>
      <c r="P180" s="5">
        <f t="shared" ca="1" si="18"/>
        <v>46324</v>
      </c>
      <c r="Q180" t="str">
        <f t="shared" si="19"/>
        <v>February</v>
      </c>
      <c r="R180">
        <f t="shared" si="20"/>
        <v>36</v>
      </c>
      <c r="T180">
        <v>34</v>
      </c>
      <c r="X180" t="str">
        <f t="shared" si="21"/>
        <v>DK</v>
      </c>
      <c r="AF180" t="str">
        <f t="shared" si="22"/>
        <v>no match</v>
      </c>
    </row>
    <row r="181" spans="1:32" ht="29" x14ac:dyDescent="0.35">
      <c r="A181" s="1" t="s">
        <v>372</v>
      </c>
      <c r="B181" s="2">
        <v>45661</v>
      </c>
      <c r="C181" s="1" t="s">
        <v>373</v>
      </c>
      <c r="D181" s="1" t="s">
        <v>374</v>
      </c>
      <c r="E181" s="1" t="s">
        <v>109</v>
      </c>
      <c r="F181" s="1" t="s">
        <v>110</v>
      </c>
      <c r="G181" s="1" t="s">
        <v>28</v>
      </c>
      <c r="H181" s="3">
        <v>1</v>
      </c>
      <c r="I181" s="26">
        <v>899.99</v>
      </c>
      <c r="J181" s="1" t="s">
        <v>84</v>
      </c>
      <c r="K181" s="1" t="s">
        <v>89</v>
      </c>
      <c r="L181" s="1" t="s">
        <v>85</v>
      </c>
      <c r="M181" s="2">
        <v>44752</v>
      </c>
      <c r="N181" s="25">
        <f t="shared" si="16"/>
        <v>899.99</v>
      </c>
      <c r="O181" s="4">
        <f t="shared" ca="1" si="17"/>
        <v>46324.650590393518</v>
      </c>
      <c r="P181" s="5">
        <f t="shared" ca="1" si="18"/>
        <v>46324</v>
      </c>
      <c r="Q181" t="str">
        <f t="shared" si="19"/>
        <v>August</v>
      </c>
      <c r="R181">
        <f t="shared" si="20"/>
        <v>29</v>
      </c>
      <c r="T181">
        <v>24</v>
      </c>
      <c r="X181" t="str">
        <f t="shared" si="21"/>
        <v>AE</v>
      </c>
      <c r="AF181">
        <f t="shared" si="22"/>
        <v>899.99</v>
      </c>
    </row>
    <row r="182" spans="1:32" ht="43.5" x14ac:dyDescent="0.35">
      <c r="A182" s="1" t="s">
        <v>375</v>
      </c>
      <c r="B182" s="2">
        <v>45663</v>
      </c>
      <c r="C182" s="1" t="s">
        <v>177</v>
      </c>
      <c r="D182" s="1" t="s">
        <v>178</v>
      </c>
      <c r="E182" s="1" t="s">
        <v>100</v>
      </c>
      <c r="F182" s="1" t="s">
        <v>101</v>
      </c>
      <c r="G182" s="1" t="s">
        <v>28</v>
      </c>
      <c r="H182" s="3">
        <v>5</v>
      </c>
      <c r="I182" s="26">
        <v>149.99</v>
      </c>
      <c r="J182" s="1" t="s">
        <v>84</v>
      </c>
      <c r="K182" s="1" t="s">
        <v>111</v>
      </c>
      <c r="L182" s="1" t="s">
        <v>78</v>
      </c>
      <c r="M182" s="2">
        <v>44824</v>
      </c>
      <c r="N182" s="25">
        <f t="shared" si="16"/>
        <v>749.95</v>
      </c>
      <c r="O182" s="4">
        <f t="shared" ca="1" si="17"/>
        <v>46324.650590393518</v>
      </c>
      <c r="P182" s="5">
        <f t="shared" ca="1" si="18"/>
        <v>46324</v>
      </c>
      <c r="Q182" t="str">
        <f t="shared" si="19"/>
        <v>October</v>
      </c>
      <c r="R182">
        <f t="shared" si="20"/>
        <v>27</v>
      </c>
      <c r="T182">
        <v>16</v>
      </c>
      <c r="X182" t="str">
        <f t="shared" si="21"/>
        <v>LA</v>
      </c>
      <c r="AF182" t="str">
        <f t="shared" si="22"/>
        <v>no match</v>
      </c>
    </row>
    <row r="183" spans="1:32" ht="29" x14ac:dyDescent="0.35">
      <c r="A183" s="1" t="s">
        <v>376</v>
      </c>
      <c r="B183" s="2">
        <v>45663</v>
      </c>
      <c r="C183" s="1" t="s">
        <v>91</v>
      </c>
      <c r="D183" s="1" t="s">
        <v>92</v>
      </c>
      <c r="E183" s="1" t="s">
        <v>153</v>
      </c>
      <c r="F183" s="1" t="s">
        <v>154</v>
      </c>
      <c r="G183" s="1" t="s">
        <v>29</v>
      </c>
      <c r="H183" s="3">
        <v>3</v>
      </c>
      <c r="I183" s="26">
        <v>299.99</v>
      </c>
      <c r="J183" s="1" t="s">
        <v>71</v>
      </c>
      <c r="K183" s="1" t="s">
        <v>52</v>
      </c>
      <c r="L183" s="1" t="s">
        <v>85</v>
      </c>
      <c r="M183" s="2">
        <v>44422</v>
      </c>
      <c r="N183" s="25">
        <f t="shared" si="16"/>
        <v>899.97</v>
      </c>
      <c r="O183" s="4">
        <f t="shared" ca="1" si="17"/>
        <v>46324.650590393518</v>
      </c>
      <c r="P183" s="5">
        <f t="shared" ca="1" si="18"/>
        <v>46324</v>
      </c>
      <c r="Q183" t="str">
        <f t="shared" si="19"/>
        <v>September</v>
      </c>
      <c r="R183">
        <f t="shared" si="20"/>
        <v>40</v>
      </c>
      <c r="T183">
        <v>26</v>
      </c>
      <c r="X183" t="str">
        <f t="shared" si="21"/>
        <v>MB</v>
      </c>
      <c r="AF183" t="str">
        <f t="shared" si="22"/>
        <v>no match</v>
      </c>
    </row>
    <row r="184" spans="1:32" ht="29" x14ac:dyDescent="0.35">
      <c r="A184" s="1" t="s">
        <v>377</v>
      </c>
      <c r="B184" s="2">
        <v>45666</v>
      </c>
      <c r="C184" s="1" t="s">
        <v>113</v>
      </c>
      <c r="D184" s="1" t="s">
        <v>114</v>
      </c>
      <c r="E184" s="1" t="s">
        <v>128</v>
      </c>
      <c r="F184" s="1" t="s">
        <v>129</v>
      </c>
      <c r="G184" s="1" t="s">
        <v>28</v>
      </c>
      <c r="H184" s="3">
        <v>3</v>
      </c>
      <c r="I184" s="26">
        <v>699.99</v>
      </c>
      <c r="J184" s="1" t="s">
        <v>77</v>
      </c>
      <c r="K184" s="1" t="s">
        <v>72</v>
      </c>
      <c r="L184" s="1" t="s">
        <v>78</v>
      </c>
      <c r="M184" s="2">
        <v>45105</v>
      </c>
      <c r="N184" s="25">
        <f t="shared" si="16"/>
        <v>2099.9700000000003</v>
      </c>
      <c r="O184" s="4">
        <f t="shared" ca="1" si="17"/>
        <v>46324.650590393518</v>
      </c>
      <c r="P184" s="5">
        <f t="shared" ca="1" si="18"/>
        <v>46324</v>
      </c>
      <c r="Q184" t="str">
        <f t="shared" si="19"/>
        <v>July</v>
      </c>
      <c r="R184">
        <f t="shared" si="20"/>
        <v>18</v>
      </c>
      <c r="T184">
        <v>31</v>
      </c>
      <c r="X184" t="str">
        <f t="shared" si="21"/>
        <v>KH</v>
      </c>
      <c r="AF184" t="str">
        <f t="shared" si="22"/>
        <v>no match</v>
      </c>
    </row>
    <row r="185" spans="1:32" ht="29" x14ac:dyDescent="0.35">
      <c r="A185" s="1" t="s">
        <v>378</v>
      </c>
      <c r="B185" s="2">
        <v>45667</v>
      </c>
      <c r="C185" s="1" t="s">
        <v>156</v>
      </c>
      <c r="D185" s="1" t="s">
        <v>157</v>
      </c>
      <c r="E185" s="1" t="s">
        <v>174</v>
      </c>
      <c r="F185" s="1" t="s">
        <v>175</v>
      </c>
      <c r="G185" s="1" t="s">
        <v>29</v>
      </c>
      <c r="H185" s="3">
        <v>5</v>
      </c>
      <c r="I185" s="26">
        <v>199.99</v>
      </c>
      <c r="J185" s="1" t="s">
        <v>84</v>
      </c>
      <c r="K185" s="1" t="s">
        <v>72</v>
      </c>
      <c r="L185" s="1" t="s">
        <v>85</v>
      </c>
      <c r="M185" s="2">
        <v>44633</v>
      </c>
      <c r="N185" s="25">
        <f t="shared" si="16"/>
        <v>999.95</v>
      </c>
      <c r="O185" s="4">
        <f t="shared" ca="1" si="17"/>
        <v>46324.650590393518</v>
      </c>
      <c r="P185" s="5">
        <f t="shared" ca="1" si="18"/>
        <v>46324</v>
      </c>
      <c r="Q185" t="str">
        <f t="shared" si="19"/>
        <v>April</v>
      </c>
      <c r="R185">
        <f t="shared" si="20"/>
        <v>33</v>
      </c>
      <c r="T185">
        <v>15</v>
      </c>
      <c r="X185" t="str">
        <f t="shared" si="21"/>
        <v>NC</v>
      </c>
      <c r="AF185" t="str">
        <f t="shared" si="22"/>
        <v>no match</v>
      </c>
    </row>
    <row r="186" spans="1:32" ht="29" x14ac:dyDescent="0.35">
      <c r="A186" s="1" t="s">
        <v>379</v>
      </c>
      <c r="B186" s="2">
        <v>45667</v>
      </c>
      <c r="C186" s="1" t="s">
        <v>141</v>
      </c>
      <c r="D186" s="1" t="s">
        <v>142</v>
      </c>
      <c r="E186" s="1" t="s">
        <v>69</v>
      </c>
      <c r="F186" s="1" t="s">
        <v>70</v>
      </c>
      <c r="G186" s="1" t="s">
        <v>28</v>
      </c>
      <c r="H186" s="3">
        <v>5</v>
      </c>
      <c r="I186" s="26">
        <v>249.99</v>
      </c>
      <c r="J186" s="1" t="s">
        <v>77</v>
      </c>
      <c r="K186" s="1" t="s">
        <v>52</v>
      </c>
      <c r="L186" s="1" t="s">
        <v>73</v>
      </c>
      <c r="M186" s="2">
        <v>45330</v>
      </c>
      <c r="N186" s="25">
        <f t="shared" si="16"/>
        <v>1249.95</v>
      </c>
      <c r="O186" s="4">
        <f t="shared" ca="1" si="17"/>
        <v>46324.650590393518</v>
      </c>
      <c r="P186" s="5">
        <f t="shared" ca="1" si="18"/>
        <v>46324</v>
      </c>
      <c r="Q186" t="str">
        <f t="shared" si="19"/>
        <v>March</v>
      </c>
      <c r="R186">
        <f t="shared" si="20"/>
        <v>11</v>
      </c>
      <c r="T186">
        <v>26</v>
      </c>
      <c r="X186" t="str">
        <f t="shared" si="21"/>
        <v>VS</v>
      </c>
      <c r="AF186" t="str">
        <f t="shared" si="22"/>
        <v>no match</v>
      </c>
    </row>
    <row r="187" spans="1:32" ht="29" x14ac:dyDescent="0.35">
      <c r="A187" s="1" t="s">
        <v>380</v>
      </c>
      <c r="B187" s="2">
        <v>45668</v>
      </c>
      <c r="C187" s="1" t="s">
        <v>186</v>
      </c>
      <c r="D187" s="1" t="s">
        <v>187</v>
      </c>
      <c r="E187" s="1" t="s">
        <v>100</v>
      </c>
      <c r="F187" s="1" t="s">
        <v>101</v>
      </c>
      <c r="G187" s="1" t="s">
        <v>28</v>
      </c>
      <c r="H187" s="3">
        <v>4</v>
      </c>
      <c r="I187" s="26">
        <v>149.99</v>
      </c>
      <c r="J187" s="1" t="s">
        <v>105</v>
      </c>
      <c r="K187" s="1" t="s">
        <v>111</v>
      </c>
      <c r="L187" s="1" t="s">
        <v>85</v>
      </c>
      <c r="M187" s="2">
        <v>44536</v>
      </c>
      <c r="N187" s="25">
        <f t="shared" si="16"/>
        <v>599.96</v>
      </c>
      <c r="O187" s="4">
        <f t="shared" ca="1" si="17"/>
        <v>46324.650590393518</v>
      </c>
      <c r="P187" s="5">
        <f t="shared" ca="1" si="18"/>
        <v>46324</v>
      </c>
      <c r="Q187" t="str">
        <f t="shared" si="19"/>
        <v>January</v>
      </c>
      <c r="R187">
        <f t="shared" si="20"/>
        <v>37</v>
      </c>
      <c r="T187">
        <v>16</v>
      </c>
      <c r="X187" t="str">
        <f t="shared" si="21"/>
        <v>ST</v>
      </c>
      <c r="AF187" t="str">
        <f t="shared" si="22"/>
        <v>no match</v>
      </c>
    </row>
    <row r="188" spans="1:32" ht="29" x14ac:dyDescent="0.35">
      <c r="A188" s="1" t="s">
        <v>381</v>
      </c>
      <c r="B188" s="2">
        <v>45668</v>
      </c>
      <c r="C188" s="1" t="s">
        <v>126</v>
      </c>
      <c r="D188" s="1" t="s">
        <v>127</v>
      </c>
      <c r="E188" s="1" t="s">
        <v>128</v>
      </c>
      <c r="F188" s="1" t="s">
        <v>129</v>
      </c>
      <c r="G188" s="1" t="s">
        <v>28</v>
      </c>
      <c r="H188" s="3">
        <v>3</v>
      </c>
      <c r="I188" s="26">
        <v>699.99</v>
      </c>
      <c r="J188" s="1" t="s">
        <v>71</v>
      </c>
      <c r="K188" s="1" t="s">
        <v>89</v>
      </c>
      <c r="L188" s="1" t="s">
        <v>78</v>
      </c>
      <c r="M188" s="2">
        <v>44602</v>
      </c>
      <c r="N188" s="25">
        <f t="shared" si="16"/>
        <v>2099.9700000000003</v>
      </c>
      <c r="O188" s="4">
        <f t="shared" ca="1" si="17"/>
        <v>46324.650590393518</v>
      </c>
      <c r="P188" s="5">
        <f t="shared" ca="1" si="18"/>
        <v>46324</v>
      </c>
      <c r="Q188" t="str">
        <f t="shared" si="19"/>
        <v>March</v>
      </c>
      <c r="R188">
        <f t="shared" si="20"/>
        <v>35</v>
      </c>
      <c r="T188">
        <v>31</v>
      </c>
      <c r="X188" t="str">
        <f t="shared" si="21"/>
        <v>MR</v>
      </c>
      <c r="AF188" t="str">
        <f t="shared" si="22"/>
        <v>no match</v>
      </c>
    </row>
    <row r="189" spans="1:32" ht="29" x14ac:dyDescent="0.35">
      <c r="A189" s="1" t="s">
        <v>382</v>
      </c>
      <c r="B189" s="2">
        <v>45670</v>
      </c>
      <c r="C189" s="1" t="s">
        <v>341</v>
      </c>
      <c r="D189" s="1" t="s">
        <v>342</v>
      </c>
      <c r="E189" s="1" t="s">
        <v>162</v>
      </c>
      <c r="F189" s="1" t="s">
        <v>163</v>
      </c>
      <c r="G189" s="1" t="s">
        <v>27</v>
      </c>
      <c r="H189" s="3">
        <v>1</v>
      </c>
      <c r="I189" s="26">
        <v>79.989999999999995</v>
      </c>
      <c r="J189" s="1" t="s">
        <v>77</v>
      </c>
      <c r="K189" s="1" t="s">
        <v>52</v>
      </c>
      <c r="L189" s="1" t="s">
        <v>73</v>
      </c>
      <c r="M189" s="2">
        <v>45322</v>
      </c>
      <c r="N189" s="25">
        <f t="shared" si="16"/>
        <v>79.989999999999995</v>
      </c>
      <c r="O189" s="4">
        <f t="shared" ca="1" si="17"/>
        <v>46324.650590393518</v>
      </c>
      <c r="P189" s="5">
        <f t="shared" ca="1" si="18"/>
        <v>46324</v>
      </c>
      <c r="Q189" t="str">
        <f t="shared" si="19"/>
        <v>February</v>
      </c>
      <c r="R189">
        <f t="shared" si="20"/>
        <v>11</v>
      </c>
      <c r="T189">
        <v>14</v>
      </c>
      <c r="X189" t="str">
        <f t="shared" si="21"/>
        <v>DW</v>
      </c>
      <c r="AF189">
        <f t="shared" si="22"/>
        <v>79.989999999999995</v>
      </c>
    </row>
    <row r="190" spans="1:32" ht="29" x14ac:dyDescent="0.35">
      <c r="A190" s="1" t="s">
        <v>383</v>
      </c>
      <c r="B190" s="2">
        <v>45670</v>
      </c>
      <c r="C190" s="1" t="s">
        <v>134</v>
      </c>
      <c r="D190" s="1" t="s">
        <v>135</v>
      </c>
      <c r="E190" s="1" t="s">
        <v>153</v>
      </c>
      <c r="F190" s="1" t="s">
        <v>154</v>
      </c>
      <c r="G190" s="1" t="s">
        <v>29</v>
      </c>
      <c r="H190" s="3">
        <v>1</v>
      </c>
      <c r="I190" s="26">
        <v>299.99</v>
      </c>
      <c r="J190" s="1" t="s">
        <v>77</v>
      </c>
      <c r="K190" s="1" t="s">
        <v>89</v>
      </c>
      <c r="L190" s="1" t="s">
        <v>73</v>
      </c>
      <c r="M190" s="2">
        <v>44436</v>
      </c>
      <c r="N190" s="25">
        <f t="shared" si="16"/>
        <v>299.99</v>
      </c>
      <c r="O190" s="4">
        <f t="shared" ca="1" si="17"/>
        <v>46324.650590393518</v>
      </c>
      <c r="P190" s="5">
        <f t="shared" ca="1" si="18"/>
        <v>46324</v>
      </c>
      <c r="Q190" t="str">
        <f t="shared" si="19"/>
        <v>September</v>
      </c>
      <c r="R190">
        <f t="shared" si="20"/>
        <v>40</v>
      </c>
      <c r="T190">
        <v>26</v>
      </c>
      <c r="X190" t="str">
        <f t="shared" si="21"/>
        <v>MC</v>
      </c>
      <c r="AF190">
        <f t="shared" si="22"/>
        <v>299.99</v>
      </c>
    </row>
    <row r="191" spans="1:32" ht="29" x14ac:dyDescent="0.35">
      <c r="A191" s="1" t="s">
        <v>384</v>
      </c>
      <c r="B191" s="2">
        <v>45671</v>
      </c>
      <c r="C191" s="1" t="s">
        <v>206</v>
      </c>
      <c r="D191" s="1" t="s">
        <v>207</v>
      </c>
      <c r="E191" s="1" t="s">
        <v>69</v>
      </c>
      <c r="F191" s="1" t="s">
        <v>70</v>
      </c>
      <c r="G191" s="1" t="s">
        <v>28</v>
      </c>
      <c r="H191" s="3">
        <v>4</v>
      </c>
      <c r="I191" s="26">
        <v>249.99</v>
      </c>
      <c r="J191" s="1" t="s">
        <v>77</v>
      </c>
      <c r="K191" s="1" t="s">
        <v>89</v>
      </c>
      <c r="L191" s="1" t="s">
        <v>78</v>
      </c>
      <c r="M191" s="2">
        <v>44460</v>
      </c>
      <c r="N191" s="25">
        <f t="shared" si="16"/>
        <v>999.96</v>
      </c>
      <c r="O191" s="4">
        <f t="shared" ca="1" si="17"/>
        <v>46324.650590393518</v>
      </c>
      <c r="P191" s="5">
        <f t="shared" ca="1" si="18"/>
        <v>46324</v>
      </c>
      <c r="Q191" t="str">
        <f t="shared" si="19"/>
        <v>October</v>
      </c>
      <c r="R191">
        <f t="shared" si="20"/>
        <v>39</v>
      </c>
      <c r="T191">
        <v>26</v>
      </c>
      <c r="X191" t="str">
        <f t="shared" si="21"/>
        <v>BC</v>
      </c>
      <c r="AF191" t="str">
        <f t="shared" si="22"/>
        <v>no match</v>
      </c>
    </row>
    <row r="192" spans="1:32" ht="29" x14ac:dyDescent="0.35">
      <c r="A192" s="1" t="s">
        <v>385</v>
      </c>
      <c r="B192" s="2">
        <v>45671</v>
      </c>
      <c r="C192" s="1" t="s">
        <v>168</v>
      </c>
      <c r="D192" s="1" t="s">
        <v>169</v>
      </c>
      <c r="E192" s="1" t="s">
        <v>100</v>
      </c>
      <c r="F192" s="1" t="s">
        <v>101</v>
      </c>
      <c r="G192" s="1" t="s">
        <v>28</v>
      </c>
      <c r="H192" s="3">
        <v>2</v>
      </c>
      <c r="I192" s="26">
        <v>149.99</v>
      </c>
      <c r="J192" s="1" t="s">
        <v>71</v>
      </c>
      <c r="K192" s="1" t="s">
        <v>89</v>
      </c>
      <c r="L192" s="1" t="s">
        <v>85</v>
      </c>
      <c r="M192" s="2">
        <v>44913</v>
      </c>
      <c r="N192" s="25">
        <f t="shared" si="16"/>
        <v>299.98</v>
      </c>
      <c r="O192" s="4">
        <f t="shared" ca="1" si="17"/>
        <v>46324.650590393518</v>
      </c>
      <c r="P192" s="5">
        <f t="shared" ca="1" si="18"/>
        <v>46324</v>
      </c>
      <c r="Q192" t="str">
        <f t="shared" si="19"/>
        <v>January</v>
      </c>
      <c r="R192">
        <f t="shared" si="20"/>
        <v>24</v>
      </c>
      <c r="T192">
        <v>16</v>
      </c>
      <c r="X192" t="str">
        <f t="shared" si="21"/>
        <v>HR</v>
      </c>
      <c r="AF192" t="str">
        <f t="shared" si="22"/>
        <v>no match</v>
      </c>
    </row>
    <row r="193" spans="1:32" ht="29" x14ac:dyDescent="0.35">
      <c r="A193" s="1" t="s">
        <v>386</v>
      </c>
      <c r="B193" s="2">
        <v>45671</v>
      </c>
      <c r="C193" s="1" t="s">
        <v>282</v>
      </c>
      <c r="D193" s="1" t="s">
        <v>283</v>
      </c>
      <c r="E193" s="1" t="s">
        <v>153</v>
      </c>
      <c r="F193" s="1" t="s">
        <v>154</v>
      </c>
      <c r="G193" s="1" t="s">
        <v>29</v>
      </c>
      <c r="H193" s="3">
        <v>3</v>
      </c>
      <c r="I193" s="26">
        <v>299.99</v>
      </c>
      <c r="J193" s="1" t="s">
        <v>77</v>
      </c>
      <c r="K193" s="1" t="s">
        <v>52</v>
      </c>
      <c r="L193" s="1" t="s">
        <v>73</v>
      </c>
      <c r="M193" s="2">
        <v>45204</v>
      </c>
      <c r="N193" s="25">
        <f t="shared" si="16"/>
        <v>899.97</v>
      </c>
      <c r="O193" s="4">
        <f t="shared" ca="1" si="17"/>
        <v>46324.650590393518</v>
      </c>
      <c r="P193" s="5">
        <f t="shared" ca="1" si="18"/>
        <v>46324</v>
      </c>
      <c r="Q193" t="str">
        <f t="shared" si="19"/>
        <v>November</v>
      </c>
      <c r="R193">
        <f t="shared" si="20"/>
        <v>15</v>
      </c>
      <c r="T193">
        <v>26</v>
      </c>
      <c r="X193" t="str">
        <f t="shared" si="21"/>
        <v>SP</v>
      </c>
      <c r="AF193" t="str">
        <f t="shared" si="22"/>
        <v>no match</v>
      </c>
    </row>
    <row r="194" spans="1:32" ht="29" x14ac:dyDescent="0.35">
      <c r="A194" s="1" t="s">
        <v>387</v>
      </c>
      <c r="B194" s="2">
        <v>45673</v>
      </c>
      <c r="C194" s="1" t="s">
        <v>274</v>
      </c>
      <c r="D194" s="1" t="s">
        <v>275</v>
      </c>
      <c r="E194" s="1" t="s">
        <v>174</v>
      </c>
      <c r="F194" s="1" t="s">
        <v>175</v>
      </c>
      <c r="G194" s="1" t="s">
        <v>29</v>
      </c>
      <c r="H194" s="3">
        <v>4</v>
      </c>
      <c r="I194" s="26">
        <v>199.99</v>
      </c>
      <c r="J194" s="1" t="s">
        <v>105</v>
      </c>
      <c r="K194" s="1" t="s">
        <v>52</v>
      </c>
      <c r="L194" s="1" t="s">
        <v>85</v>
      </c>
      <c r="M194" s="2">
        <v>44544</v>
      </c>
      <c r="N194" s="25">
        <f t="shared" si="16"/>
        <v>799.96</v>
      </c>
      <c r="O194" s="4">
        <f t="shared" ca="1" si="17"/>
        <v>46324.650590393518</v>
      </c>
      <c r="P194" s="5">
        <f t="shared" ca="1" si="18"/>
        <v>46324</v>
      </c>
      <c r="Q194" t="str">
        <f t="shared" si="19"/>
        <v>January</v>
      </c>
      <c r="R194">
        <f t="shared" si="20"/>
        <v>37</v>
      </c>
      <c r="T194">
        <v>15</v>
      </c>
      <c r="X194" t="str">
        <f t="shared" si="21"/>
        <v>LR</v>
      </c>
      <c r="AF194" t="str">
        <f t="shared" si="22"/>
        <v>no match</v>
      </c>
    </row>
    <row r="195" spans="1:32" ht="29" x14ac:dyDescent="0.35">
      <c r="A195" s="1" t="s">
        <v>388</v>
      </c>
      <c r="B195" s="2">
        <v>45673</v>
      </c>
      <c r="C195" s="1" t="s">
        <v>259</v>
      </c>
      <c r="D195" s="1" t="s">
        <v>260</v>
      </c>
      <c r="E195" s="1" t="s">
        <v>153</v>
      </c>
      <c r="F195" s="1" t="s">
        <v>154</v>
      </c>
      <c r="G195" s="1" t="s">
        <v>29</v>
      </c>
      <c r="H195" s="3">
        <v>5</v>
      </c>
      <c r="I195" s="26">
        <v>299.99</v>
      </c>
      <c r="J195" s="1" t="s">
        <v>105</v>
      </c>
      <c r="K195" s="1" t="s">
        <v>72</v>
      </c>
      <c r="L195" s="1" t="s">
        <v>73</v>
      </c>
      <c r="M195" s="2">
        <v>44431</v>
      </c>
      <c r="N195" s="25">
        <f t="shared" ref="N195:N251" si="23">I195*H195</f>
        <v>1499.95</v>
      </c>
      <c r="O195" s="4">
        <f t="shared" ref="O195:O251" ca="1" si="24">NOW()</f>
        <v>46324.650590393518</v>
      </c>
      <c r="P195" s="5">
        <f t="shared" ref="P195:P251" ca="1" si="25">TODAY()</f>
        <v>46324</v>
      </c>
      <c r="Q195" t="str">
        <f t="shared" ref="Q195:Q251" si="26">TEXT(EOMONTH(M195,1),"mmmm")</f>
        <v>September</v>
      </c>
      <c r="R195">
        <f t="shared" ref="R195:R251" si="27">DATEDIF(M195,B195,"M")</f>
        <v>40</v>
      </c>
      <c r="T195">
        <v>26</v>
      </c>
      <c r="X195" t="str">
        <f t="shared" ref="X195:X251" si="28">LEFT(D195,1)&amp;MID(D195,FIND(" ",D195)+1,1)</f>
        <v>EH</v>
      </c>
      <c r="AF195" t="str">
        <f t="shared" ref="AF195:AF251" si="29">IF(I195=N195,I195,"no match")</f>
        <v>no match</v>
      </c>
    </row>
    <row r="196" spans="1:32" ht="29" x14ac:dyDescent="0.35">
      <c r="A196" s="1" t="s">
        <v>389</v>
      </c>
      <c r="B196" s="2">
        <v>45673</v>
      </c>
      <c r="C196" s="1" t="s">
        <v>107</v>
      </c>
      <c r="D196" s="1" t="s">
        <v>108</v>
      </c>
      <c r="E196" s="1" t="s">
        <v>93</v>
      </c>
      <c r="F196" s="1" t="s">
        <v>94</v>
      </c>
      <c r="G196" s="1" t="s">
        <v>29</v>
      </c>
      <c r="H196" s="3">
        <v>3</v>
      </c>
      <c r="I196" s="26">
        <v>149.99</v>
      </c>
      <c r="J196" s="1" t="s">
        <v>77</v>
      </c>
      <c r="K196" s="1" t="s">
        <v>111</v>
      </c>
      <c r="L196" s="1" t="s">
        <v>85</v>
      </c>
      <c r="M196" s="2">
        <v>44395</v>
      </c>
      <c r="N196" s="25">
        <f t="shared" si="23"/>
        <v>449.97</v>
      </c>
      <c r="O196" s="4">
        <f t="shared" ca="1" si="24"/>
        <v>46324.650590393518</v>
      </c>
      <c r="P196" s="5">
        <f t="shared" ca="1" si="25"/>
        <v>46324</v>
      </c>
      <c r="Q196" t="str">
        <f t="shared" si="26"/>
        <v>August</v>
      </c>
      <c r="R196">
        <f t="shared" si="27"/>
        <v>41</v>
      </c>
      <c r="T196">
        <v>35</v>
      </c>
      <c r="X196" t="str">
        <f t="shared" si="28"/>
        <v>RT</v>
      </c>
      <c r="AF196" t="str">
        <f t="shared" si="29"/>
        <v>no match</v>
      </c>
    </row>
    <row r="197" spans="1:32" ht="43.5" x14ac:dyDescent="0.35">
      <c r="A197" s="1" t="s">
        <v>390</v>
      </c>
      <c r="B197" s="2">
        <v>45676</v>
      </c>
      <c r="C197" s="1" t="s">
        <v>177</v>
      </c>
      <c r="D197" s="1" t="s">
        <v>178</v>
      </c>
      <c r="E197" s="1" t="s">
        <v>82</v>
      </c>
      <c r="F197" s="1" t="s">
        <v>83</v>
      </c>
      <c r="G197" s="1" t="s">
        <v>27</v>
      </c>
      <c r="H197" s="3">
        <v>5</v>
      </c>
      <c r="I197" s="26">
        <v>59.99</v>
      </c>
      <c r="J197" s="1" t="s">
        <v>105</v>
      </c>
      <c r="K197" s="1" t="s">
        <v>111</v>
      </c>
      <c r="L197" s="1" t="s">
        <v>73</v>
      </c>
      <c r="M197" s="2">
        <v>44642</v>
      </c>
      <c r="N197" s="25">
        <f t="shared" si="23"/>
        <v>299.95</v>
      </c>
      <c r="O197" s="4">
        <f t="shared" ca="1" si="24"/>
        <v>46324.650590393518</v>
      </c>
      <c r="P197" s="5">
        <f t="shared" ca="1" si="25"/>
        <v>46324</v>
      </c>
      <c r="Q197" t="str">
        <f t="shared" si="26"/>
        <v>April</v>
      </c>
      <c r="R197">
        <f t="shared" si="27"/>
        <v>33</v>
      </c>
      <c r="T197">
        <v>29</v>
      </c>
      <c r="X197" t="str">
        <f t="shared" si="28"/>
        <v>LA</v>
      </c>
      <c r="AF197" t="str">
        <f t="shared" si="29"/>
        <v>no match</v>
      </c>
    </row>
    <row r="198" spans="1:32" ht="29" x14ac:dyDescent="0.35">
      <c r="A198" s="1" t="s">
        <v>391</v>
      </c>
      <c r="B198" s="2">
        <v>45682</v>
      </c>
      <c r="C198" s="1" t="s">
        <v>116</v>
      </c>
      <c r="D198" s="1" t="s">
        <v>117</v>
      </c>
      <c r="E198" s="1" t="s">
        <v>82</v>
      </c>
      <c r="F198" s="1" t="s">
        <v>83</v>
      </c>
      <c r="G198" s="1" t="s">
        <v>27</v>
      </c>
      <c r="H198" s="3">
        <v>4</v>
      </c>
      <c r="I198" s="26">
        <v>59.99</v>
      </c>
      <c r="J198" s="1" t="s">
        <v>105</v>
      </c>
      <c r="K198" s="1" t="s">
        <v>111</v>
      </c>
      <c r="L198" s="1" t="s">
        <v>85</v>
      </c>
      <c r="M198" s="2">
        <v>44564</v>
      </c>
      <c r="N198" s="25">
        <f t="shared" si="23"/>
        <v>239.96</v>
      </c>
      <c r="O198" s="4">
        <f t="shared" ca="1" si="24"/>
        <v>46324.650590393518</v>
      </c>
      <c r="P198" s="5">
        <f t="shared" ca="1" si="25"/>
        <v>46324</v>
      </c>
      <c r="Q198" t="str">
        <f t="shared" si="26"/>
        <v>February</v>
      </c>
      <c r="R198">
        <f t="shared" si="27"/>
        <v>36</v>
      </c>
      <c r="T198">
        <v>29</v>
      </c>
      <c r="X198" t="str">
        <f t="shared" si="28"/>
        <v>SG</v>
      </c>
      <c r="AF198" t="str">
        <f t="shared" si="29"/>
        <v>no match</v>
      </c>
    </row>
    <row r="199" spans="1:32" ht="29" x14ac:dyDescent="0.35">
      <c r="A199" s="1" t="s">
        <v>392</v>
      </c>
      <c r="B199" s="2">
        <v>45683</v>
      </c>
      <c r="C199" s="1" t="s">
        <v>96</v>
      </c>
      <c r="D199" s="1" t="s">
        <v>97</v>
      </c>
      <c r="E199" s="1" t="s">
        <v>69</v>
      </c>
      <c r="F199" s="1" t="s">
        <v>70</v>
      </c>
      <c r="G199" s="1" t="s">
        <v>28</v>
      </c>
      <c r="H199" s="3">
        <v>4</v>
      </c>
      <c r="I199" s="26">
        <v>249.99</v>
      </c>
      <c r="J199" s="1" t="s">
        <v>105</v>
      </c>
      <c r="K199" s="1" t="s">
        <v>72</v>
      </c>
      <c r="L199" s="1" t="s">
        <v>78</v>
      </c>
      <c r="M199" s="2">
        <v>45217</v>
      </c>
      <c r="N199" s="25">
        <f t="shared" si="23"/>
        <v>999.96</v>
      </c>
      <c r="O199" s="4">
        <f t="shared" ca="1" si="24"/>
        <v>46324.650590393518</v>
      </c>
      <c r="P199" s="5">
        <f t="shared" ca="1" si="25"/>
        <v>46324</v>
      </c>
      <c r="Q199" t="str">
        <f t="shared" si="26"/>
        <v>November</v>
      </c>
      <c r="R199">
        <f t="shared" si="27"/>
        <v>15</v>
      </c>
      <c r="T199">
        <v>26</v>
      </c>
      <c r="X199" t="str">
        <f t="shared" si="28"/>
        <v>DN</v>
      </c>
      <c r="AF199" t="str">
        <f t="shared" si="29"/>
        <v>no match</v>
      </c>
    </row>
    <row r="200" spans="1:32" ht="29" x14ac:dyDescent="0.35">
      <c r="A200" s="1" t="s">
        <v>393</v>
      </c>
      <c r="B200" s="2">
        <v>45686</v>
      </c>
      <c r="C200" s="1" t="s">
        <v>300</v>
      </c>
      <c r="D200" s="1" t="s">
        <v>301</v>
      </c>
      <c r="E200" s="1" t="s">
        <v>109</v>
      </c>
      <c r="F200" s="1" t="s">
        <v>110</v>
      </c>
      <c r="G200" s="1" t="s">
        <v>28</v>
      </c>
      <c r="H200" s="3">
        <v>4</v>
      </c>
      <c r="I200" s="26">
        <v>899.99</v>
      </c>
      <c r="J200" s="1" t="s">
        <v>84</v>
      </c>
      <c r="K200" s="1" t="s">
        <v>72</v>
      </c>
      <c r="L200" s="1" t="s">
        <v>73</v>
      </c>
      <c r="M200" s="2">
        <v>44734</v>
      </c>
      <c r="N200" s="25">
        <f t="shared" si="23"/>
        <v>3599.96</v>
      </c>
      <c r="O200" s="4">
        <f t="shared" ca="1" si="24"/>
        <v>46324.650590393518</v>
      </c>
      <c r="P200" s="5">
        <f t="shared" ca="1" si="25"/>
        <v>46324</v>
      </c>
      <c r="Q200" t="str">
        <f t="shared" si="26"/>
        <v>July</v>
      </c>
      <c r="R200">
        <f t="shared" si="27"/>
        <v>31</v>
      </c>
      <c r="T200">
        <v>24</v>
      </c>
      <c r="X200" t="str">
        <f t="shared" si="28"/>
        <v>WW</v>
      </c>
      <c r="AF200" t="str">
        <f t="shared" si="29"/>
        <v>no match</v>
      </c>
    </row>
    <row r="201" spans="1:32" ht="29" x14ac:dyDescent="0.35">
      <c r="A201" s="1" t="s">
        <v>394</v>
      </c>
      <c r="B201" s="2">
        <v>45686</v>
      </c>
      <c r="C201" s="1" t="s">
        <v>134</v>
      </c>
      <c r="D201" s="1" t="s">
        <v>135</v>
      </c>
      <c r="E201" s="1" t="s">
        <v>153</v>
      </c>
      <c r="F201" s="1" t="s">
        <v>154</v>
      </c>
      <c r="G201" s="1" t="s">
        <v>29</v>
      </c>
      <c r="H201" s="3">
        <v>3</v>
      </c>
      <c r="I201" s="26">
        <v>299.99</v>
      </c>
      <c r="J201" s="1" t="s">
        <v>105</v>
      </c>
      <c r="K201" s="1" t="s">
        <v>98</v>
      </c>
      <c r="L201" s="1" t="s">
        <v>85</v>
      </c>
      <c r="M201" s="2">
        <v>44952</v>
      </c>
      <c r="N201" s="25">
        <f t="shared" si="23"/>
        <v>899.97</v>
      </c>
      <c r="O201" s="4">
        <f t="shared" ca="1" si="24"/>
        <v>46324.650590393518</v>
      </c>
      <c r="P201" s="5">
        <f t="shared" ca="1" si="25"/>
        <v>46324</v>
      </c>
      <c r="Q201" t="str">
        <f t="shared" si="26"/>
        <v>February</v>
      </c>
      <c r="R201">
        <f t="shared" si="27"/>
        <v>24</v>
      </c>
      <c r="T201">
        <v>26</v>
      </c>
      <c r="X201" t="str">
        <f t="shared" si="28"/>
        <v>MC</v>
      </c>
      <c r="AF201" t="str">
        <f t="shared" si="29"/>
        <v>no match</v>
      </c>
    </row>
    <row r="202" spans="1:32" ht="29" x14ac:dyDescent="0.35">
      <c r="A202" s="1" t="s">
        <v>395</v>
      </c>
      <c r="B202" s="2">
        <v>45686</v>
      </c>
      <c r="C202" s="1" t="s">
        <v>341</v>
      </c>
      <c r="D202" s="1" t="s">
        <v>342</v>
      </c>
      <c r="E202" s="1" t="s">
        <v>128</v>
      </c>
      <c r="F202" s="1" t="s">
        <v>129</v>
      </c>
      <c r="G202" s="1" t="s">
        <v>28</v>
      </c>
      <c r="H202" s="3">
        <v>2</v>
      </c>
      <c r="I202" s="26">
        <v>699.99</v>
      </c>
      <c r="J202" s="1" t="s">
        <v>105</v>
      </c>
      <c r="K202" s="1" t="s">
        <v>72</v>
      </c>
      <c r="L202" s="1" t="s">
        <v>78</v>
      </c>
      <c r="M202" s="2">
        <v>44681</v>
      </c>
      <c r="N202" s="25">
        <f t="shared" si="23"/>
        <v>1399.98</v>
      </c>
      <c r="O202" s="4">
        <f t="shared" ca="1" si="24"/>
        <v>46324.650590393518</v>
      </c>
      <c r="P202" s="5">
        <f t="shared" ca="1" si="25"/>
        <v>46324</v>
      </c>
      <c r="Q202" t="str">
        <f t="shared" si="26"/>
        <v>May</v>
      </c>
      <c r="R202">
        <f t="shared" si="27"/>
        <v>32</v>
      </c>
      <c r="T202">
        <v>31</v>
      </c>
      <c r="X202" t="str">
        <f t="shared" si="28"/>
        <v>DW</v>
      </c>
      <c r="AF202" t="str">
        <f t="shared" si="29"/>
        <v>no match</v>
      </c>
    </row>
    <row r="203" spans="1:32" ht="29" x14ac:dyDescent="0.35">
      <c r="A203" s="1" t="s">
        <v>396</v>
      </c>
      <c r="B203" s="2">
        <v>45688</v>
      </c>
      <c r="C203" s="1" t="s">
        <v>113</v>
      </c>
      <c r="D203" s="1" t="s">
        <v>114</v>
      </c>
      <c r="E203" s="1" t="s">
        <v>128</v>
      </c>
      <c r="F203" s="1" t="s">
        <v>129</v>
      </c>
      <c r="G203" s="1" t="s">
        <v>28</v>
      </c>
      <c r="H203" s="3">
        <v>4</v>
      </c>
      <c r="I203" s="26">
        <v>699.99</v>
      </c>
      <c r="J203" s="1" t="s">
        <v>105</v>
      </c>
      <c r="K203" s="1" t="s">
        <v>98</v>
      </c>
      <c r="L203" s="1" t="s">
        <v>78</v>
      </c>
      <c r="M203" s="2">
        <v>44692</v>
      </c>
      <c r="N203" s="25">
        <f t="shared" si="23"/>
        <v>2799.96</v>
      </c>
      <c r="O203" s="4">
        <f t="shared" ca="1" si="24"/>
        <v>46324.650590393518</v>
      </c>
      <c r="P203" s="5">
        <f t="shared" ca="1" si="25"/>
        <v>46324</v>
      </c>
      <c r="Q203" t="str">
        <f t="shared" si="26"/>
        <v>June</v>
      </c>
      <c r="R203">
        <f t="shared" si="27"/>
        <v>32</v>
      </c>
      <c r="T203">
        <v>31</v>
      </c>
      <c r="X203" t="str">
        <f t="shared" si="28"/>
        <v>KH</v>
      </c>
      <c r="AF203" t="str">
        <f t="shared" si="29"/>
        <v>no match</v>
      </c>
    </row>
    <row r="204" spans="1:32" ht="29" x14ac:dyDescent="0.35">
      <c r="A204" s="1" t="s">
        <v>397</v>
      </c>
      <c r="B204" s="2">
        <v>45688</v>
      </c>
      <c r="C204" s="1" t="s">
        <v>171</v>
      </c>
      <c r="D204" s="1" t="s">
        <v>172</v>
      </c>
      <c r="E204" s="1" t="s">
        <v>165</v>
      </c>
      <c r="F204" s="1" t="s">
        <v>166</v>
      </c>
      <c r="G204" s="1" t="s">
        <v>28</v>
      </c>
      <c r="H204" s="3">
        <v>2</v>
      </c>
      <c r="I204" s="26">
        <v>89.99</v>
      </c>
      <c r="J204" s="1" t="s">
        <v>105</v>
      </c>
      <c r="K204" s="1" t="s">
        <v>52</v>
      </c>
      <c r="L204" s="1" t="s">
        <v>73</v>
      </c>
      <c r="M204" s="2">
        <v>44777</v>
      </c>
      <c r="N204" s="25">
        <f t="shared" si="23"/>
        <v>179.98</v>
      </c>
      <c r="O204" s="4">
        <f t="shared" ca="1" si="24"/>
        <v>46324.650590393518</v>
      </c>
      <c r="P204" s="5">
        <f t="shared" ca="1" si="25"/>
        <v>46324</v>
      </c>
      <c r="Q204" t="str">
        <f t="shared" si="26"/>
        <v>September</v>
      </c>
      <c r="R204">
        <f t="shared" si="27"/>
        <v>29</v>
      </c>
      <c r="T204">
        <v>34</v>
      </c>
      <c r="X204" t="str">
        <f t="shared" si="28"/>
        <v>EM</v>
      </c>
      <c r="AF204" t="str">
        <f t="shared" si="29"/>
        <v>no match</v>
      </c>
    </row>
    <row r="205" spans="1:32" ht="29" x14ac:dyDescent="0.35">
      <c r="A205" s="1" t="s">
        <v>398</v>
      </c>
      <c r="B205" s="2">
        <v>45688</v>
      </c>
      <c r="C205" s="1" t="s">
        <v>91</v>
      </c>
      <c r="D205" s="1" t="s">
        <v>92</v>
      </c>
      <c r="E205" s="1" t="s">
        <v>165</v>
      </c>
      <c r="F205" s="1" t="s">
        <v>166</v>
      </c>
      <c r="G205" s="1" t="s">
        <v>28</v>
      </c>
      <c r="H205" s="3">
        <v>3</v>
      </c>
      <c r="I205" s="26">
        <v>89.99</v>
      </c>
      <c r="J205" s="1" t="s">
        <v>105</v>
      </c>
      <c r="K205" s="1" t="s">
        <v>52</v>
      </c>
      <c r="L205" s="1" t="s">
        <v>78</v>
      </c>
      <c r="M205" s="2">
        <v>45307</v>
      </c>
      <c r="N205" s="25">
        <f t="shared" si="23"/>
        <v>269.96999999999997</v>
      </c>
      <c r="O205" s="4">
        <f t="shared" ca="1" si="24"/>
        <v>46324.650590393518</v>
      </c>
      <c r="P205" s="5">
        <f t="shared" ca="1" si="25"/>
        <v>46324</v>
      </c>
      <c r="Q205" t="str">
        <f t="shared" si="26"/>
        <v>February</v>
      </c>
      <c r="R205">
        <f t="shared" si="27"/>
        <v>12</v>
      </c>
      <c r="T205">
        <v>34</v>
      </c>
      <c r="X205" t="str">
        <f t="shared" si="28"/>
        <v>MB</v>
      </c>
      <c r="AF205" t="str">
        <f t="shared" si="29"/>
        <v>no match</v>
      </c>
    </row>
    <row r="206" spans="1:32" ht="29" x14ac:dyDescent="0.35">
      <c r="A206" s="1" t="s">
        <v>399</v>
      </c>
      <c r="B206" s="2">
        <v>45692</v>
      </c>
      <c r="C206" s="1" t="s">
        <v>373</v>
      </c>
      <c r="D206" s="1" t="s">
        <v>374</v>
      </c>
      <c r="E206" s="1" t="s">
        <v>82</v>
      </c>
      <c r="F206" s="1" t="s">
        <v>83</v>
      </c>
      <c r="G206" s="1" t="s">
        <v>27</v>
      </c>
      <c r="H206" s="3">
        <v>1</v>
      </c>
      <c r="I206" s="26">
        <v>59.99</v>
      </c>
      <c r="J206" s="1" t="s">
        <v>105</v>
      </c>
      <c r="K206" s="1" t="s">
        <v>72</v>
      </c>
      <c r="L206" s="1" t="s">
        <v>85</v>
      </c>
      <c r="M206" s="2">
        <v>45045</v>
      </c>
      <c r="N206" s="25">
        <f t="shared" si="23"/>
        <v>59.99</v>
      </c>
      <c r="O206" s="4">
        <f t="shared" ca="1" si="24"/>
        <v>46324.650590393518</v>
      </c>
      <c r="P206" s="5">
        <f t="shared" ca="1" si="25"/>
        <v>46324</v>
      </c>
      <c r="Q206" t="str">
        <f t="shared" si="26"/>
        <v>May</v>
      </c>
      <c r="R206">
        <f t="shared" si="27"/>
        <v>21</v>
      </c>
      <c r="T206">
        <v>29</v>
      </c>
      <c r="X206" t="str">
        <f t="shared" si="28"/>
        <v>AE</v>
      </c>
      <c r="AF206">
        <f t="shared" si="29"/>
        <v>59.99</v>
      </c>
    </row>
    <row r="207" spans="1:32" ht="29" x14ac:dyDescent="0.35">
      <c r="A207" s="1" t="s">
        <v>400</v>
      </c>
      <c r="B207" s="2">
        <v>45695</v>
      </c>
      <c r="C207" s="1" t="s">
        <v>294</v>
      </c>
      <c r="D207" s="1" t="s">
        <v>295</v>
      </c>
      <c r="E207" s="1" t="s">
        <v>93</v>
      </c>
      <c r="F207" s="1" t="s">
        <v>94</v>
      </c>
      <c r="G207" s="1" t="s">
        <v>29</v>
      </c>
      <c r="H207" s="3">
        <v>3</v>
      </c>
      <c r="I207" s="26">
        <v>149.99</v>
      </c>
      <c r="J207" s="1" t="s">
        <v>105</v>
      </c>
      <c r="K207" s="1" t="s">
        <v>89</v>
      </c>
      <c r="L207" s="1" t="s">
        <v>78</v>
      </c>
      <c r="M207" s="2">
        <v>44564</v>
      </c>
      <c r="N207" s="25">
        <f t="shared" si="23"/>
        <v>449.97</v>
      </c>
      <c r="O207" s="4">
        <f t="shared" ca="1" si="24"/>
        <v>46324.650590393518</v>
      </c>
      <c r="P207" s="5">
        <f t="shared" ca="1" si="25"/>
        <v>46324</v>
      </c>
      <c r="Q207" t="str">
        <f t="shared" si="26"/>
        <v>February</v>
      </c>
      <c r="R207">
        <f t="shared" si="27"/>
        <v>37</v>
      </c>
      <c r="T207">
        <v>35</v>
      </c>
      <c r="X207" t="str">
        <f t="shared" si="28"/>
        <v>RB</v>
      </c>
      <c r="AF207" t="str">
        <f t="shared" si="29"/>
        <v>no match</v>
      </c>
    </row>
    <row r="208" spans="1:32" ht="29" x14ac:dyDescent="0.35">
      <c r="A208" s="1" t="s">
        <v>401</v>
      </c>
      <c r="B208" s="2">
        <v>45695</v>
      </c>
      <c r="C208" s="1" t="s">
        <v>141</v>
      </c>
      <c r="D208" s="1" t="s">
        <v>142</v>
      </c>
      <c r="E208" s="1" t="s">
        <v>153</v>
      </c>
      <c r="F208" s="1" t="s">
        <v>154</v>
      </c>
      <c r="G208" s="1" t="s">
        <v>29</v>
      </c>
      <c r="H208" s="3">
        <v>5</v>
      </c>
      <c r="I208" s="26">
        <v>299.99</v>
      </c>
      <c r="J208" s="1" t="s">
        <v>77</v>
      </c>
      <c r="K208" s="1" t="s">
        <v>52</v>
      </c>
      <c r="L208" s="1" t="s">
        <v>73</v>
      </c>
      <c r="M208" s="2">
        <v>44959</v>
      </c>
      <c r="N208" s="25">
        <f t="shared" si="23"/>
        <v>1499.95</v>
      </c>
      <c r="O208" s="4">
        <f t="shared" ca="1" si="24"/>
        <v>46324.650590393518</v>
      </c>
      <c r="P208" s="5">
        <f t="shared" ca="1" si="25"/>
        <v>46324</v>
      </c>
      <c r="Q208" t="str">
        <f t="shared" si="26"/>
        <v>March</v>
      </c>
      <c r="R208">
        <f t="shared" si="27"/>
        <v>24</v>
      </c>
      <c r="T208">
        <v>26</v>
      </c>
      <c r="X208" t="str">
        <f t="shared" si="28"/>
        <v>VS</v>
      </c>
      <c r="AF208" t="str">
        <f t="shared" si="29"/>
        <v>no match</v>
      </c>
    </row>
    <row r="209" spans="1:32" ht="29" x14ac:dyDescent="0.35">
      <c r="A209" s="1" t="s">
        <v>402</v>
      </c>
      <c r="B209" s="2">
        <v>45696</v>
      </c>
      <c r="C209" s="1" t="s">
        <v>198</v>
      </c>
      <c r="D209" s="1" t="s">
        <v>199</v>
      </c>
      <c r="E209" s="1" t="s">
        <v>82</v>
      </c>
      <c r="F209" s="1" t="s">
        <v>83</v>
      </c>
      <c r="G209" s="1" t="s">
        <v>27</v>
      </c>
      <c r="H209" s="3">
        <v>5</v>
      </c>
      <c r="I209" s="26">
        <v>59.99</v>
      </c>
      <c r="J209" s="1" t="s">
        <v>105</v>
      </c>
      <c r="K209" s="1" t="s">
        <v>72</v>
      </c>
      <c r="L209" s="1" t="s">
        <v>85</v>
      </c>
      <c r="M209" s="2">
        <v>45177</v>
      </c>
      <c r="N209" s="25">
        <f t="shared" si="23"/>
        <v>299.95</v>
      </c>
      <c r="O209" s="4">
        <f t="shared" ca="1" si="24"/>
        <v>46324.650590393518</v>
      </c>
      <c r="P209" s="5">
        <f t="shared" ca="1" si="25"/>
        <v>46324</v>
      </c>
      <c r="Q209" t="str">
        <f t="shared" si="26"/>
        <v>October</v>
      </c>
      <c r="R209">
        <f t="shared" si="27"/>
        <v>17</v>
      </c>
      <c r="T209">
        <v>29</v>
      </c>
      <c r="X209" t="str">
        <f t="shared" si="28"/>
        <v>SB</v>
      </c>
      <c r="AF209" t="str">
        <f t="shared" si="29"/>
        <v>no match</v>
      </c>
    </row>
    <row r="210" spans="1:32" ht="29" x14ac:dyDescent="0.35">
      <c r="A210" s="1" t="s">
        <v>403</v>
      </c>
      <c r="B210" s="2">
        <v>45701</v>
      </c>
      <c r="C210" s="1" t="s">
        <v>156</v>
      </c>
      <c r="D210" s="1" t="s">
        <v>157</v>
      </c>
      <c r="E210" s="1" t="s">
        <v>162</v>
      </c>
      <c r="F210" s="1" t="s">
        <v>163</v>
      </c>
      <c r="G210" s="1" t="s">
        <v>27</v>
      </c>
      <c r="H210" s="3">
        <v>3</v>
      </c>
      <c r="I210" s="26">
        <v>79.989999999999995</v>
      </c>
      <c r="J210" s="1" t="s">
        <v>71</v>
      </c>
      <c r="K210" s="1" t="s">
        <v>111</v>
      </c>
      <c r="L210" s="1" t="s">
        <v>78</v>
      </c>
      <c r="M210" s="2">
        <v>44436</v>
      </c>
      <c r="N210" s="25">
        <f t="shared" si="23"/>
        <v>239.96999999999997</v>
      </c>
      <c r="O210" s="4">
        <f t="shared" ca="1" si="24"/>
        <v>46324.650590393518</v>
      </c>
      <c r="P210" s="5">
        <f t="shared" ca="1" si="25"/>
        <v>46324</v>
      </c>
      <c r="Q210" t="str">
        <f t="shared" si="26"/>
        <v>September</v>
      </c>
      <c r="R210">
        <f t="shared" si="27"/>
        <v>41</v>
      </c>
      <c r="T210">
        <v>14</v>
      </c>
      <c r="X210" t="str">
        <f t="shared" si="28"/>
        <v>NC</v>
      </c>
      <c r="AF210" t="str">
        <f t="shared" si="29"/>
        <v>no match</v>
      </c>
    </row>
    <row r="211" spans="1:32" ht="29" x14ac:dyDescent="0.35">
      <c r="A211" s="1" t="s">
        <v>404</v>
      </c>
      <c r="B211" s="2">
        <v>45704</v>
      </c>
      <c r="C211" s="1" t="s">
        <v>80</v>
      </c>
      <c r="D211" s="1" t="s">
        <v>81</v>
      </c>
      <c r="E211" s="1" t="s">
        <v>174</v>
      </c>
      <c r="F211" s="1" t="s">
        <v>175</v>
      </c>
      <c r="G211" s="1" t="s">
        <v>29</v>
      </c>
      <c r="H211" s="3">
        <v>3</v>
      </c>
      <c r="I211" s="26">
        <v>199.99</v>
      </c>
      <c r="J211" s="1" t="s">
        <v>71</v>
      </c>
      <c r="K211" s="1" t="s">
        <v>72</v>
      </c>
      <c r="L211" s="1" t="s">
        <v>73</v>
      </c>
      <c r="M211" s="2">
        <v>44735</v>
      </c>
      <c r="N211" s="25">
        <f t="shared" si="23"/>
        <v>599.97</v>
      </c>
      <c r="O211" s="4">
        <f t="shared" ca="1" si="24"/>
        <v>46324.650590393518</v>
      </c>
      <c r="P211" s="5">
        <f t="shared" ca="1" si="25"/>
        <v>46324</v>
      </c>
      <c r="Q211" t="str">
        <f t="shared" si="26"/>
        <v>July</v>
      </c>
      <c r="R211">
        <f t="shared" si="27"/>
        <v>31</v>
      </c>
      <c r="T211">
        <v>15</v>
      </c>
      <c r="X211" t="str">
        <f t="shared" si="28"/>
        <v>KS</v>
      </c>
      <c r="AF211" t="str">
        <f t="shared" si="29"/>
        <v>no match</v>
      </c>
    </row>
    <row r="212" spans="1:32" ht="29" x14ac:dyDescent="0.35">
      <c r="A212" s="1" t="s">
        <v>405</v>
      </c>
      <c r="B212" s="2">
        <v>45704</v>
      </c>
      <c r="C212" s="1" t="s">
        <v>67</v>
      </c>
      <c r="D212" s="1" t="s">
        <v>68</v>
      </c>
      <c r="E212" s="1" t="s">
        <v>165</v>
      </c>
      <c r="F212" s="1" t="s">
        <v>166</v>
      </c>
      <c r="G212" s="1" t="s">
        <v>28</v>
      </c>
      <c r="H212" s="3">
        <v>2</v>
      </c>
      <c r="I212" s="26">
        <v>89.99</v>
      </c>
      <c r="J212" s="1" t="s">
        <v>84</v>
      </c>
      <c r="K212" s="1" t="s">
        <v>72</v>
      </c>
      <c r="L212" s="1" t="s">
        <v>73</v>
      </c>
      <c r="M212" s="2">
        <v>45257</v>
      </c>
      <c r="N212" s="25">
        <f t="shared" si="23"/>
        <v>179.98</v>
      </c>
      <c r="O212" s="4">
        <f t="shared" ca="1" si="24"/>
        <v>46324.650590393518</v>
      </c>
      <c r="P212" s="5">
        <f t="shared" ca="1" si="25"/>
        <v>46324</v>
      </c>
      <c r="Q212" t="str">
        <f t="shared" si="26"/>
        <v>December</v>
      </c>
      <c r="R212">
        <f t="shared" si="27"/>
        <v>14</v>
      </c>
      <c r="T212">
        <v>34</v>
      </c>
      <c r="X212" t="str">
        <f t="shared" si="28"/>
        <v>PB</v>
      </c>
      <c r="AF212" t="str">
        <f t="shared" si="29"/>
        <v>no match</v>
      </c>
    </row>
    <row r="213" spans="1:32" ht="29" x14ac:dyDescent="0.35">
      <c r="A213" s="1" t="s">
        <v>406</v>
      </c>
      <c r="B213" s="2">
        <v>45705</v>
      </c>
      <c r="C213" s="1" t="s">
        <v>307</v>
      </c>
      <c r="D213" s="1" t="s">
        <v>308</v>
      </c>
      <c r="E213" s="1" t="s">
        <v>93</v>
      </c>
      <c r="F213" s="1" t="s">
        <v>94</v>
      </c>
      <c r="G213" s="1" t="s">
        <v>29</v>
      </c>
      <c r="H213" s="3">
        <v>2</v>
      </c>
      <c r="I213" s="26">
        <v>149.99</v>
      </c>
      <c r="J213" s="1" t="s">
        <v>71</v>
      </c>
      <c r="K213" s="1" t="s">
        <v>52</v>
      </c>
      <c r="L213" s="1" t="s">
        <v>78</v>
      </c>
      <c r="M213" s="2">
        <v>44728</v>
      </c>
      <c r="N213" s="25">
        <f t="shared" si="23"/>
        <v>299.98</v>
      </c>
      <c r="O213" s="4">
        <f t="shared" ca="1" si="24"/>
        <v>46324.650590393518</v>
      </c>
      <c r="P213" s="5">
        <f t="shared" ca="1" si="25"/>
        <v>46324</v>
      </c>
      <c r="Q213" t="str">
        <f t="shared" si="26"/>
        <v>July</v>
      </c>
      <c r="R213">
        <f t="shared" si="27"/>
        <v>32</v>
      </c>
      <c r="T213">
        <v>35</v>
      </c>
      <c r="X213" t="str">
        <f t="shared" si="28"/>
        <v>RL</v>
      </c>
      <c r="AF213" t="str">
        <f t="shared" si="29"/>
        <v>no match</v>
      </c>
    </row>
    <row r="214" spans="1:32" ht="29" x14ac:dyDescent="0.35">
      <c r="A214" s="1" t="s">
        <v>407</v>
      </c>
      <c r="B214" s="2">
        <v>45707</v>
      </c>
      <c r="C214" s="1" t="s">
        <v>171</v>
      </c>
      <c r="D214" s="1" t="s">
        <v>172</v>
      </c>
      <c r="E214" s="1" t="s">
        <v>128</v>
      </c>
      <c r="F214" s="1" t="s">
        <v>129</v>
      </c>
      <c r="G214" s="1" t="s">
        <v>28</v>
      </c>
      <c r="H214" s="3">
        <v>5</v>
      </c>
      <c r="I214" s="26">
        <v>699.99</v>
      </c>
      <c r="J214" s="1" t="s">
        <v>84</v>
      </c>
      <c r="K214" s="1" t="s">
        <v>52</v>
      </c>
      <c r="L214" s="1" t="s">
        <v>78</v>
      </c>
      <c r="M214" s="2">
        <v>45352</v>
      </c>
      <c r="N214" s="25">
        <f t="shared" si="23"/>
        <v>3499.95</v>
      </c>
      <c r="O214" s="4">
        <f t="shared" ca="1" si="24"/>
        <v>46324.650590393518</v>
      </c>
      <c r="P214" s="5">
        <f t="shared" ca="1" si="25"/>
        <v>46324</v>
      </c>
      <c r="Q214" t="str">
        <f t="shared" si="26"/>
        <v>April</v>
      </c>
      <c r="R214">
        <f t="shared" si="27"/>
        <v>11</v>
      </c>
      <c r="T214">
        <v>31</v>
      </c>
      <c r="X214" t="str">
        <f t="shared" si="28"/>
        <v>EM</v>
      </c>
      <c r="AF214" t="str">
        <f t="shared" si="29"/>
        <v>no match</v>
      </c>
    </row>
    <row r="215" spans="1:32" ht="29" x14ac:dyDescent="0.35">
      <c r="A215" s="1" t="s">
        <v>408</v>
      </c>
      <c r="B215" s="2">
        <v>45707</v>
      </c>
      <c r="C215" s="1" t="s">
        <v>91</v>
      </c>
      <c r="D215" s="1" t="s">
        <v>92</v>
      </c>
      <c r="E215" s="1" t="s">
        <v>93</v>
      </c>
      <c r="F215" s="1" t="s">
        <v>94</v>
      </c>
      <c r="G215" s="1" t="s">
        <v>29</v>
      </c>
      <c r="H215" s="3">
        <v>3</v>
      </c>
      <c r="I215" s="26">
        <v>149.99</v>
      </c>
      <c r="J215" s="1" t="s">
        <v>84</v>
      </c>
      <c r="K215" s="1" t="s">
        <v>72</v>
      </c>
      <c r="L215" s="1" t="s">
        <v>85</v>
      </c>
      <c r="M215" s="2">
        <v>44633</v>
      </c>
      <c r="N215" s="25">
        <f t="shared" si="23"/>
        <v>449.97</v>
      </c>
      <c r="O215" s="4">
        <f t="shared" ca="1" si="24"/>
        <v>46324.650590393518</v>
      </c>
      <c r="P215" s="5">
        <f t="shared" ca="1" si="25"/>
        <v>46324</v>
      </c>
      <c r="Q215" t="str">
        <f t="shared" si="26"/>
        <v>April</v>
      </c>
      <c r="R215">
        <f t="shared" si="27"/>
        <v>35</v>
      </c>
      <c r="T215">
        <v>35</v>
      </c>
      <c r="X215" t="str">
        <f t="shared" si="28"/>
        <v>MB</v>
      </c>
      <c r="AF215" t="str">
        <f t="shared" si="29"/>
        <v>no match</v>
      </c>
    </row>
    <row r="216" spans="1:32" ht="29" x14ac:dyDescent="0.35">
      <c r="A216" s="1" t="s">
        <v>409</v>
      </c>
      <c r="B216" s="2">
        <v>45708</v>
      </c>
      <c r="C216" s="1" t="s">
        <v>144</v>
      </c>
      <c r="D216" s="1" t="s">
        <v>145</v>
      </c>
      <c r="E216" s="1" t="s">
        <v>109</v>
      </c>
      <c r="F216" s="1" t="s">
        <v>110</v>
      </c>
      <c r="G216" s="1" t="s">
        <v>28</v>
      </c>
      <c r="H216" s="3">
        <v>3</v>
      </c>
      <c r="I216" s="26">
        <v>899.99</v>
      </c>
      <c r="J216" s="1" t="s">
        <v>71</v>
      </c>
      <c r="K216" s="1" t="s">
        <v>111</v>
      </c>
      <c r="L216" s="1" t="s">
        <v>85</v>
      </c>
      <c r="M216" s="2">
        <v>44613</v>
      </c>
      <c r="N216" s="25">
        <f t="shared" si="23"/>
        <v>2699.9700000000003</v>
      </c>
      <c r="O216" s="4">
        <f t="shared" ca="1" si="24"/>
        <v>46324.650590393518</v>
      </c>
      <c r="P216" s="5">
        <f t="shared" ca="1" si="25"/>
        <v>46324</v>
      </c>
      <c r="Q216" t="str">
        <f t="shared" si="26"/>
        <v>March</v>
      </c>
      <c r="R216">
        <f t="shared" si="27"/>
        <v>35</v>
      </c>
      <c r="T216">
        <v>24</v>
      </c>
      <c r="X216" t="str">
        <f t="shared" si="28"/>
        <v>BY</v>
      </c>
      <c r="AF216" t="str">
        <f t="shared" si="29"/>
        <v>no match</v>
      </c>
    </row>
    <row r="217" spans="1:32" ht="29" x14ac:dyDescent="0.35">
      <c r="A217" s="1" t="s">
        <v>410</v>
      </c>
      <c r="B217" s="2">
        <v>45708</v>
      </c>
      <c r="C217" s="1" t="s">
        <v>240</v>
      </c>
      <c r="D217" s="1" t="s">
        <v>241</v>
      </c>
      <c r="E217" s="1" t="s">
        <v>174</v>
      </c>
      <c r="F217" s="1" t="s">
        <v>175</v>
      </c>
      <c r="G217" s="1" t="s">
        <v>29</v>
      </c>
      <c r="H217" s="3">
        <v>3</v>
      </c>
      <c r="I217" s="26">
        <v>199.99</v>
      </c>
      <c r="J217" s="1" t="s">
        <v>71</v>
      </c>
      <c r="K217" s="1" t="s">
        <v>98</v>
      </c>
      <c r="L217" s="1" t="s">
        <v>78</v>
      </c>
      <c r="M217" s="2">
        <v>44823</v>
      </c>
      <c r="N217" s="25">
        <f t="shared" si="23"/>
        <v>599.97</v>
      </c>
      <c r="O217" s="4">
        <f t="shared" ca="1" si="24"/>
        <v>46324.650590393518</v>
      </c>
      <c r="P217" s="5">
        <f t="shared" ca="1" si="25"/>
        <v>46324</v>
      </c>
      <c r="Q217" t="str">
        <f t="shared" si="26"/>
        <v>October</v>
      </c>
      <c r="R217">
        <f t="shared" si="27"/>
        <v>29</v>
      </c>
      <c r="T217">
        <v>15</v>
      </c>
      <c r="X217" t="str">
        <f t="shared" si="28"/>
        <v>FT</v>
      </c>
      <c r="AF217" t="str">
        <f t="shared" si="29"/>
        <v>no match</v>
      </c>
    </row>
    <row r="218" spans="1:32" ht="29" x14ac:dyDescent="0.35">
      <c r="A218" s="1" t="s">
        <v>411</v>
      </c>
      <c r="B218" s="2">
        <v>45710</v>
      </c>
      <c r="C218" s="1" t="s">
        <v>103</v>
      </c>
      <c r="D218" s="1" t="s">
        <v>104</v>
      </c>
      <c r="E218" s="1" t="s">
        <v>153</v>
      </c>
      <c r="F218" s="1" t="s">
        <v>154</v>
      </c>
      <c r="G218" s="1" t="s">
        <v>29</v>
      </c>
      <c r="H218" s="3">
        <v>5</v>
      </c>
      <c r="I218" s="26">
        <v>299.99</v>
      </c>
      <c r="J218" s="1" t="s">
        <v>71</v>
      </c>
      <c r="K218" s="1" t="s">
        <v>98</v>
      </c>
      <c r="L218" s="1" t="s">
        <v>85</v>
      </c>
      <c r="M218" s="2">
        <v>45142</v>
      </c>
      <c r="N218" s="25">
        <f t="shared" si="23"/>
        <v>1499.95</v>
      </c>
      <c r="O218" s="4">
        <f t="shared" ca="1" si="24"/>
        <v>46324.650590393518</v>
      </c>
      <c r="P218" s="5">
        <f t="shared" ca="1" si="25"/>
        <v>46324</v>
      </c>
      <c r="Q218" t="str">
        <f t="shared" si="26"/>
        <v>September</v>
      </c>
      <c r="R218">
        <f t="shared" si="27"/>
        <v>18</v>
      </c>
      <c r="T218">
        <v>26</v>
      </c>
      <c r="X218" t="str">
        <f t="shared" si="28"/>
        <v>CA</v>
      </c>
      <c r="AF218" t="str">
        <f t="shared" si="29"/>
        <v>no match</v>
      </c>
    </row>
    <row r="219" spans="1:32" ht="29" x14ac:dyDescent="0.35">
      <c r="A219" s="1" t="s">
        <v>412</v>
      </c>
      <c r="B219" s="2">
        <v>45710</v>
      </c>
      <c r="C219" s="1" t="s">
        <v>198</v>
      </c>
      <c r="D219" s="1" t="s">
        <v>199</v>
      </c>
      <c r="E219" s="1" t="s">
        <v>128</v>
      </c>
      <c r="F219" s="1" t="s">
        <v>129</v>
      </c>
      <c r="G219" s="1" t="s">
        <v>28</v>
      </c>
      <c r="H219" s="3">
        <v>1</v>
      </c>
      <c r="I219" s="26">
        <v>699.99</v>
      </c>
      <c r="J219" s="1" t="s">
        <v>84</v>
      </c>
      <c r="K219" s="1" t="s">
        <v>98</v>
      </c>
      <c r="L219" s="1" t="s">
        <v>73</v>
      </c>
      <c r="M219" s="2">
        <v>44934</v>
      </c>
      <c r="N219" s="25">
        <f t="shared" si="23"/>
        <v>699.99</v>
      </c>
      <c r="O219" s="4">
        <f t="shared" ca="1" si="24"/>
        <v>46324.650590393518</v>
      </c>
      <c r="P219" s="5">
        <f t="shared" ca="1" si="25"/>
        <v>46324</v>
      </c>
      <c r="Q219" t="str">
        <f t="shared" si="26"/>
        <v>February</v>
      </c>
      <c r="R219">
        <f t="shared" si="27"/>
        <v>25</v>
      </c>
      <c r="T219">
        <v>31</v>
      </c>
      <c r="X219" t="str">
        <f t="shared" si="28"/>
        <v>SB</v>
      </c>
      <c r="AF219">
        <f t="shared" si="29"/>
        <v>699.99</v>
      </c>
    </row>
    <row r="220" spans="1:32" ht="29" x14ac:dyDescent="0.35">
      <c r="A220" s="1" t="s">
        <v>413</v>
      </c>
      <c r="B220" s="2">
        <v>45711</v>
      </c>
      <c r="C220" s="1" t="s">
        <v>294</v>
      </c>
      <c r="D220" s="1" t="s">
        <v>295</v>
      </c>
      <c r="E220" s="1" t="s">
        <v>128</v>
      </c>
      <c r="F220" s="1" t="s">
        <v>129</v>
      </c>
      <c r="G220" s="1" t="s">
        <v>28</v>
      </c>
      <c r="H220" s="3">
        <v>1</v>
      </c>
      <c r="I220" s="26">
        <v>699.99</v>
      </c>
      <c r="J220" s="1" t="s">
        <v>71</v>
      </c>
      <c r="K220" s="1" t="s">
        <v>89</v>
      </c>
      <c r="L220" s="1" t="s">
        <v>78</v>
      </c>
      <c r="M220" s="2">
        <v>44583</v>
      </c>
      <c r="N220" s="25">
        <f t="shared" si="23"/>
        <v>699.99</v>
      </c>
      <c r="O220" s="4">
        <f t="shared" ca="1" si="24"/>
        <v>46324.650590393518</v>
      </c>
      <c r="P220" s="5">
        <f t="shared" ca="1" si="25"/>
        <v>46324</v>
      </c>
      <c r="Q220" t="str">
        <f t="shared" si="26"/>
        <v>February</v>
      </c>
      <c r="R220">
        <f t="shared" si="27"/>
        <v>37</v>
      </c>
      <c r="T220">
        <v>31</v>
      </c>
      <c r="X220" t="str">
        <f t="shared" si="28"/>
        <v>RB</v>
      </c>
      <c r="AF220">
        <f t="shared" si="29"/>
        <v>699.99</v>
      </c>
    </row>
    <row r="221" spans="1:32" ht="29" x14ac:dyDescent="0.35">
      <c r="A221" s="1" t="s">
        <v>414</v>
      </c>
      <c r="B221" s="2">
        <v>45711</v>
      </c>
      <c r="C221" s="1" t="s">
        <v>373</v>
      </c>
      <c r="D221" s="1" t="s">
        <v>374</v>
      </c>
      <c r="E221" s="1" t="s">
        <v>93</v>
      </c>
      <c r="F221" s="1" t="s">
        <v>94</v>
      </c>
      <c r="G221" s="1" t="s">
        <v>29</v>
      </c>
      <c r="H221" s="3">
        <v>4</v>
      </c>
      <c r="I221" s="26">
        <v>149.99</v>
      </c>
      <c r="J221" s="1" t="s">
        <v>84</v>
      </c>
      <c r="K221" s="1" t="s">
        <v>89</v>
      </c>
      <c r="L221" s="1" t="s">
        <v>78</v>
      </c>
      <c r="M221" s="2">
        <v>44412</v>
      </c>
      <c r="N221" s="25">
        <f t="shared" si="23"/>
        <v>599.96</v>
      </c>
      <c r="O221" s="4">
        <f t="shared" ca="1" si="24"/>
        <v>46324.650590393518</v>
      </c>
      <c r="P221" s="5">
        <f t="shared" ca="1" si="25"/>
        <v>46324</v>
      </c>
      <c r="Q221" t="str">
        <f t="shared" si="26"/>
        <v>September</v>
      </c>
      <c r="R221">
        <f t="shared" si="27"/>
        <v>42</v>
      </c>
      <c r="T221">
        <v>35</v>
      </c>
      <c r="X221" t="str">
        <f t="shared" si="28"/>
        <v>AE</v>
      </c>
      <c r="AF221" t="str">
        <f t="shared" si="29"/>
        <v>no match</v>
      </c>
    </row>
    <row r="222" spans="1:32" ht="29" x14ac:dyDescent="0.35">
      <c r="A222" s="1" t="s">
        <v>415</v>
      </c>
      <c r="B222" s="2">
        <v>45711</v>
      </c>
      <c r="C222" s="1" t="s">
        <v>259</v>
      </c>
      <c r="D222" s="1" t="s">
        <v>260</v>
      </c>
      <c r="E222" s="1" t="s">
        <v>165</v>
      </c>
      <c r="F222" s="1" t="s">
        <v>166</v>
      </c>
      <c r="G222" s="1" t="s">
        <v>28</v>
      </c>
      <c r="H222" s="3">
        <v>5</v>
      </c>
      <c r="I222" s="26">
        <v>89.99</v>
      </c>
      <c r="J222" s="1" t="s">
        <v>84</v>
      </c>
      <c r="K222" s="1" t="s">
        <v>98</v>
      </c>
      <c r="L222" s="1" t="s">
        <v>78</v>
      </c>
      <c r="M222" s="2">
        <v>45140</v>
      </c>
      <c r="N222" s="25">
        <f t="shared" si="23"/>
        <v>449.95</v>
      </c>
      <c r="O222" s="4">
        <f t="shared" ca="1" si="24"/>
        <v>46324.650590393518</v>
      </c>
      <c r="P222" s="5">
        <f t="shared" ca="1" si="25"/>
        <v>46324</v>
      </c>
      <c r="Q222" t="str">
        <f t="shared" si="26"/>
        <v>September</v>
      </c>
      <c r="R222">
        <f t="shared" si="27"/>
        <v>18</v>
      </c>
      <c r="T222">
        <v>34</v>
      </c>
      <c r="X222" t="str">
        <f t="shared" si="28"/>
        <v>EH</v>
      </c>
      <c r="AF222" t="str">
        <f t="shared" si="29"/>
        <v>no match</v>
      </c>
    </row>
    <row r="223" spans="1:32" ht="29" x14ac:dyDescent="0.35">
      <c r="A223" s="1" t="s">
        <v>416</v>
      </c>
      <c r="B223" s="2">
        <v>45712</v>
      </c>
      <c r="C223" s="1" t="s">
        <v>186</v>
      </c>
      <c r="D223" s="1" t="s">
        <v>187</v>
      </c>
      <c r="E223" s="1" t="s">
        <v>174</v>
      </c>
      <c r="F223" s="1" t="s">
        <v>175</v>
      </c>
      <c r="G223" s="1" t="s">
        <v>29</v>
      </c>
      <c r="H223" s="3">
        <v>2</v>
      </c>
      <c r="I223" s="26">
        <v>199.99</v>
      </c>
      <c r="J223" s="1" t="s">
        <v>71</v>
      </c>
      <c r="K223" s="1" t="s">
        <v>72</v>
      </c>
      <c r="L223" s="1" t="s">
        <v>78</v>
      </c>
      <c r="M223" s="2">
        <v>44573</v>
      </c>
      <c r="N223" s="25">
        <f t="shared" si="23"/>
        <v>399.98</v>
      </c>
      <c r="O223" s="4">
        <f t="shared" ca="1" si="24"/>
        <v>46324.650590393518</v>
      </c>
      <c r="P223" s="5">
        <f t="shared" ca="1" si="25"/>
        <v>46324</v>
      </c>
      <c r="Q223" t="str">
        <f t="shared" si="26"/>
        <v>February</v>
      </c>
      <c r="R223">
        <f t="shared" si="27"/>
        <v>37</v>
      </c>
      <c r="T223">
        <v>15</v>
      </c>
      <c r="X223" t="str">
        <f t="shared" si="28"/>
        <v>ST</v>
      </c>
      <c r="AF223" t="str">
        <f t="shared" si="29"/>
        <v>no match</v>
      </c>
    </row>
    <row r="224" spans="1:32" ht="29" x14ac:dyDescent="0.35">
      <c r="A224" s="1" t="s">
        <v>417</v>
      </c>
      <c r="B224" s="2">
        <v>45715</v>
      </c>
      <c r="C224" s="1" t="s">
        <v>307</v>
      </c>
      <c r="D224" s="1" t="s">
        <v>308</v>
      </c>
      <c r="E224" s="1" t="s">
        <v>82</v>
      </c>
      <c r="F224" s="1" t="s">
        <v>83</v>
      </c>
      <c r="G224" s="1" t="s">
        <v>27</v>
      </c>
      <c r="H224" s="3">
        <v>4</v>
      </c>
      <c r="I224" s="26">
        <v>59.99</v>
      </c>
      <c r="J224" s="1" t="s">
        <v>71</v>
      </c>
      <c r="K224" s="1" t="s">
        <v>98</v>
      </c>
      <c r="L224" s="1" t="s">
        <v>85</v>
      </c>
      <c r="M224" s="2">
        <v>45070</v>
      </c>
      <c r="N224" s="25">
        <f t="shared" si="23"/>
        <v>239.96</v>
      </c>
      <c r="O224" s="4">
        <f t="shared" ca="1" si="24"/>
        <v>46324.650590393518</v>
      </c>
      <c r="P224" s="5">
        <f t="shared" ca="1" si="25"/>
        <v>46324</v>
      </c>
      <c r="Q224" t="str">
        <f t="shared" si="26"/>
        <v>June</v>
      </c>
      <c r="R224">
        <f t="shared" si="27"/>
        <v>21</v>
      </c>
      <c r="T224">
        <v>29</v>
      </c>
      <c r="X224" t="str">
        <f t="shared" si="28"/>
        <v>RL</v>
      </c>
      <c r="AF224" t="str">
        <f t="shared" si="29"/>
        <v>no match</v>
      </c>
    </row>
    <row r="225" spans="1:32" ht="29" x14ac:dyDescent="0.35">
      <c r="A225" s="1" t="s">
        <v>418</v>
      </c>
      <c r="B225" s="2">
        <v>45715</v>
      </c>
      <c r="C225" s="1" t="s">
        <v>141</v>
      </c>
      <c r="D225" s="1" t="s">
        <v>142</v>
      </c>
      <c r="E225" s="1" t="s">
        <v>153</v>
      </c>
      <c r="F225" s="1" t="s">
        <v>154</v>
      </c>
      <c r="G225" s="1" t="s">
        <v>29</v>
      </c>
      <c r="H225" s="3">
        <v>2</v>
      </c>
      <c r="I225" s="26">
        <v>299.99</v>
      </c>
      <c r="J225" s="1" t="s">
        <v>84</v>
      </c>
      <c r="K225" s="1" t="s">
        <v>52</v>
      </c>
      <c r="L225" s="1" t="s">
        <v>73</v>
      </c>
      <c r="M225" s="2">
        <v>44576</v>
      </c>
      <c r="N225" s="25">
        <f t="shared" si="23"/>
        <v>599.98</v>
      </c>
      <c r="O225" s="4">
        <f t="shared" ca="1" si="24"/>
        <v>46324.650590393518</v>
      </c>
      <c r="P225" s="5">
        <f t="shared" ca="1" si="25"/>
        <v>46324</v>
      </c>
      <c r="Q225" t="str">
        <f t="shared" si="26"/>
        <v>February</v>
      </c>
      <c r="R225">
        <f t="shared" si="27"/>
        <v>37</v>
      </c>
      <c r="T225">
        <v>26</v>
      </c>
      <c r="X225" t="str">
        <f t="shared" si="28"/>
        <v>VS</v>
      </c>
      <c r="AF225" t="str">
        <f t="shared" si="29"/>
        <v>no match</v>
      </c>
    </row>
    <row r="226" spans="1:32" ht="29" x14ac:dyDescent="0.35">
      <c r="A226" s="1" t="s">
        <v>419</v>
      </c>
      <c r="B226" s="2">
        <v>45718</v>
      </c>
      <c r="C226" s="1" t="s">
        <v>103</v>
      </c>
      <c r="D226" s="1" t="s">
        <v>104</v>
      </c>
      <c r="E226" s="1" t="s">
        <v>93</v>
      </c>
      <c r="F226" s="1" t="s">
        <v>94</v>
      </c>
      <c r="G226" s="1" t="s">
        <v>29</v>
      </c>
      <c r="H226" s="3">
        <v>2</v>
      </c>
      <c r="I226" s="26">
        <v>149.99</v>
      </c>
      <c r="J226" s="1" t="s">
        <v>71</v>
      </c>
      <c r="K226" s="1" t="s">
        <v>72</v>
      </c>
      <c r="L226" s="1" t="s">
        <v>73</v>
      </c>
      <c r="M226" s="2">
        <v>45068</v>
      </c>
      <c r="N226" s="25">
        <f t="shared" si="23"/>
        <v>299.98</v>
      </c>
      <c r="O226" s="4">
        <f t="shared" ca="1" si="24"/>
        <v>46324.650590393518</v>
      </c>
      <c r="P226" s="5">
        <f t="shared" ca="1" si="25"/>
        <v>46324</v>
      </c>
      <c r="Q226" t="str">
        <f t="shared" si="26"/>
        <v>June</v>
      </c>
      <c r="R226">
        <f t="shared" si="27"/>
        <v>21</v>
      </c>
      <c r="T226">
        <v>35</v>
      </c>
      <c r="X226" t="str">
        <f t="shared" si="28"/>
        <v>CA</v>
      </c>
      <c r="AF226" t="str">
        <f t="shared" si="29"/>
        <v>no match</v>
      </c>
    </row>
    <row r="227" spans="1:32" ht="29" x14ac:dyDescent="0.35">
      <c r="A227" s="1" t="s">
        <v>420</v>
      </c>
      <c r="B227" s="2">
        <v>45720</v>
      </c>
      <c r="C227" s="1" t="s">
        <v>274</v>
      </c>
      <c r="D227" s="1" t="s">
        <v>275</v>
      </c>
      <c r="E227" s="1" t="s">
        <v>128</v>
      </c>
      <c r="F227" s="1" t="s">
        <v>129</v>
      </c>
      <c r="G227" s="1" t="s">
        <v>28</v>
      </c>
      <c r="H227" s="3">
        <v>5</v>
      </c>
      <c r="I227" s="26">
        <v>699.99</v>
      </c>
      <c r="J227" s="1" t="s">
        <v>105</v>
      </c>
      <c r="K227" s="1" t="s">
        <v>111</v>
      </c>
      <c r="L227" s="1" t="s">
        <v>78</v>
      </c>
      <c r="M227" s="2">
        <v>45161</v>
      </c>
      <c r="N227" s="25">
        <f t="shared" si="23"/>
        <v>3499.95</v>
      </c>
      <c r="O227" s="4">
        <f t="shared" ca="1" si="24"/>
        <v>46324.650590393518</v>
      </c>
      <c r="P227" s="5">
        <f t="shared" ca="1" si="25"/>
        <v>46324</v>
      </c>
      <c r="Q227" t="str">
        <f t="shared" si="26"/>
        <v>September</v>
      </c>
      <c r="R227">
        <f t="shared" si="27"/>
        <v>18</v>
      </c>
      <c r="T227">
        <v>31</v>
      </c>
      <c r="X227" t="str">
        <f t="shared" si="28"/>
        <v>LR</v>
      </c>
      <c r="AF227" t="str">
        <f t="shared" si="29"/>
        <v>no match</v>
      </c>
    </row>
    <row r="228" spans="1:32" ht="29" x14ac:dyDescent="0.35">
      <c r="A228" s="1" t="s">
        <v>421</v>
      </c>
      <c r="B228" s="2">
        <v>45721</v>
      </c>
      <c r="C228" s="1" t="s">
        <v>123</v>
      </c>
      <c r="D228" s="1" t="s">
        <v>124</v>
      </c>
      <c r="E228" s="1" t="s">
        <v>82</v>
      </c>
      <c r="F228" s="1" t="s">
        <v>83</v>
      </c>
      <c r="G228" s="1" t="s">
        <v>27</v>
      </c>
      <c r="H228" s="3">
        <v>5</v>
      </c>
      <c r="I228" s="26">
        <v>59.99</v>
      </c>
      <c r="J228" s="1" t="s">
        <v>71</v>
      </c>
      <c r="K228" s="1" t="s">
        <v>98</v>
      </c>
      <c r="L228" s="1" t="s">
        <v>78</v>
      </c>
      <c r="M228" s="2">
        <v>45291</v>
      </c>
      <c r="N228" s="25">
        <f t="shared" si="23"/>
        <v>299.95</v>
      </c>
      <c r="O228" s="4">
        <f t="shared" ca="1" si="24"/>
        <v>46324.650590393518</v>
      </c>
      <c r="P228" s="5">
        <f t="shared" ca="1" si="25"/>
        <v>46324</v>
      </c>
      <c r="Q228" t="str">
        <f t="shared" si="26"/>
        <v>January</v>
      </c>
      <c r="R228">
        <f t="shared" si="27"/>
        <v>14</v>
      </c>
      <c r="T228">
        <v>29</v>
      </c>
      <c r="X228" t="str">
        <f t="shared" si="28"/>
        <v>DG</v>
      </c>
      <c r="AF228" t="str">
        <f t="shared" si="29"/>
        <v>no match</v>
      </c>
    </row>
    <row r="229" spans="1:32" ht="29" x14ac:dyDescent="0.35">
      <c r="A229" s="1" t="s">
        <v>422</v>
      </c>
      <c r="B229" s="2">
        <v>45723</v>
      </c>
      <c r="C229" s="1" t="s">
        <v>67</v>
      </c>
      <c r="D229" s="1" t="s">
        <v>68</v>
      </c>
      <c r="E229" s="1" t="s">
        <v>165</v>
      </c>
      <c r="F229" s="1" t="s">
        <v>166</v>
      </c>
      <c r="G229" s="1" t="s">
        <v>28</v>
      </c>
      <c r="H229" s="3">
        <v>2</v>
      </c>
      <c r="I229" s="26">
        <v>89.99</v>
      </c>
      <c r="J229" s="1" t="s">
        <v>77</v>
      </c>
      <c r="K229" s="1" t="s">
        <v>98</v>
      </c>
      <c r="L229" s="1" t="s">
        <v>78</v>
      </c>
      <c r="M229" s="2">
        <v>45295</v>
      </c>
      <c r="N229" s="25">
        <f t="shared" si="23"/>
        <v>179.98</v>
      </c>
      <c r="O229" s="4">
        <f t="shared" ca="1" si="24"/>
        <v>46324.650590393518</v>
      </c>
      <c r="P229" s="5">
        <f t="shared" ca="1" si="25"/>
        <v>46324</v>
      </c>
      <c r="Q229" t="str">
        <f t="shared" si="26"/>
        <v>February</v>
      </c>
      <c r="R229">
        <f t="shared" si="27"/>
        <v>14</v>
      </c>
      <c r="T229">
        <v>34</v>
      </c>
      <c r="X229" t="str">
        <f t="shared" si="28"/>
        <v>PB</v>
      </c>
      <c r="AF229" t="str">
        <f t="shared" si="29"/>
        <v>no match</v>
      </c>
    </row>
    <row r="230" spans="1:32" ht="29" x14ac:dyDescent="0.35">
      <c r="A230" s="1" t="s">
        <v>423</v>
      </c>
      <c r="B230" s="2">
        <v>45723</v>
      </c>
      <c r="C230" s="1" t="s">
        <v>168</v>
      </c>
      <c r="D230" s="1" t="s">
        <v>169</v>
      </c>
      <c r="E230" s="1" t="s">
        <v>69</v>
      </c>
      <c r="F230" s="1" t="s">
        <v>70</v>
      </c>
      <c r="G230" s="1" t="s">
        <v>28</v>
      </c>
      <c r="H230" s="3">
        <v>5</v>
      </c>
      <c r="I230" s="26">
        <v>249.99</v>
      </c>
      <c r="J230" s="1" t="s">
        <v>71</v>
      </c>
      <c r="K230" s="1" t="s">
        <v>111</v>
      </c>
      <c r="L230" s="1" t="s">
        <v>85</v>
      </c>
      <c r="M230" s="2">
        <v>44540</v>
      </c>
      <c r="N230" s="25">
        <f t="shared" si="23"/>
        <v>1249.95</v>
      </c>
      <c r="O230" s="4">
        <f t="shared" ca="1" si="24"/>
        <v>46324.650590393518</v>
      </c>
      <c r="P230" s="5">
        <f t="shared" ca="1" si="25"/>
        <v>46324</v>
      </c>
      <c r="Q230" t="str">
        <f t="shared" si="26"/>
        <v>January</v>
      </c>
      <c r="R230">
        <f t="shared" si="27"/>
        <v>38</v>
      </c>
      <c r="T230">
        <v>26</v>
      </c>
      <c r="X230" t="str">
        <f t="shared" si="28"/>
        <v>HR</v>
      </c>
      <c r="AF230" t="str">
        <f t="shared" si="29"/>
        <v>no match</v>
      </c>
    </row>
    <row r="231" spans="1:32" ht="29" x14ac:dyDescent="0.35">
      <c r="A231" s="1" t="s">
        <v>424</v>
      </c>
      <c r="B231" s="2">
        <v>45724</v>
      </c>
      <c r="C231" s="1" t="s">
        <v>274</v>
      </c>
      <c r="D231" s="1" t="s">
        <v>275</v>
      </c>
      <c r="E231" s="1" t="s">
        <v>93</v>
      </c>
      <c r="F231" s="1" t="s">
        <v>94</v>
      </c>
      <c r="G231" s="1" t="s">
        <v>29</v>
      </c>
      <c r="H231" s="3">
        <v>2</v>
      </c>
      <c r="I231" s="26">
        <v>149.99</v>
      </c>
      <c r="J231" s="1" t="s">
        <v>84</v>
      </c>
      <c r="K231" s="1" t="s">
        <v>72</v>
      </c>
      <c r="L231" s="1" t="s">
        <v>78</v>
      </c>
      <c r="M231" s="2">
        <v>44632</v>
      </c>
      <c r="N231" s="25">
        <f t="shared" si="23"/>
        <v>299.98</v>
      </c>
      <c r="O231" s="4">
        <f t="shared" ca="1" si="24"/>
        <v>46324.650590393518</v>
      </c>
      <c r="P231" s="5">
        <f t="shared" ca="1" si="25"/>
        <v>46324</v>
      </c>
      <c r="Q231" t="str">
        <f t="shared" si="26"/>
        <v>April</v>
      </c>
      <c r="R231">
        <f t="shared" si="27"/>
        <v>35</v>
      </c>
      <c r="T231">
        <v>35</v>
      </c>
      <c r="X231" t="str">
        <f t="shared" si="28"/>
        <v>LR</v>
      </c>
      <c r="AF231" t="str">
        <f t="shared" si="29"/>
        <v>no match</v>
      </c>
    </row>
    <row r="232" spans="1:32" ht="29" x14ac:dyDescent="0.35">
      <c r="A232" s="1" t="s">
        <v>425</v>
      </c>
      <c r="B232" s="2">
        <v>45724</v>
      </c>
      <c r="C232" s="1" t="s">
        <v>192</v>
      </c>
      <c r="D232" s="1" t="s">
        <v>193</v>
      </c>
      <c r="E232" s="1" t="s">
        <v>109</v>
      </c>
      <c r="F232" s="1" t="s">
        <v>110</v>
      </c>
      <c r="G232" s="1" t="s">
        <v>28</v>
      </c>
      <c r="H232" s="3">
        <v>5</v>
      </c>
      <c r="I232" s="26">
        <v>899.99</v>
      </c>
      <c r="J232" s="1" t="s">
        <v>84</v>
      </c>
      <c r="K232" s="1" t="s">
        <v>111</v>
      </c>
      <c r="L232" s="1" t="s">
        <v>78</v>
      </c>
      <c r="M232" s="2">
        <v>45389</v>
      </c>
      <c r="N232" s="25">
        <f t="shared" si="23"/>
        <v>4499.95</v>
      </c>
      <c r="O232" s="4">
        <f t="shared" ca="1" si="24"/>
        <v>46324.650590393518</v>
      </c>
      <c r="P232" s="5">
        <f t="shared" ca="1" si="25"/>
        <v>46324</v>
      </c>
      <c r="Q232" t="str">
        <f t="shared" si="26"/>
        <v>May</v>
      </c>
      <c r="R232">
        <f t="shared" si="27"/>
        <v>11</v>
      </c>
      <c r="T232">
        <v>24</v>
      </c>
      <c r="X232" t="str">
        <f t="shared" si="28"/>
        <v>HM</v>
      </c>
      <c r="AF232" t="str">
        <f t="shared" si="29"/>
        <v>no match</v>
      </c>
    </row>
    <row r="233" spans="1:32" ht="29" x14ac:dyDescent="0.35">
      <c r="A233" s="1" t="s">
        <v>426</v>
      </c>
      <c r="B233" s="2">
        <v>45724</v>
      </c>
      <c r="C233" s="1" t="s">
        <v>103</v>
      </c>
      <c r="D233" s="1" t="s">
        <v>104</v>
      </c>
      <c r="E233" s="1" t="s">
        <v>93</v>
      </c>
      <c r="F233" s="1" t="s">
        <v>94</v>
      </c>
      <c r="G233" s="1" t="s">
        <v>29</v>
      </c>
      <c r="H233" s="3">
        <v>4</v>
      </c>
      <c r="I233" s="26">
        <v>149.99</v>
      </c>
      <c r="J233" s="1" t="s">
        <v>71</v>
      </c>
      <c r="K233" s="1" t="s">
        <v>72</v>
      </c>
      <c r="L233" s="1" t="s">
        <v>85</v>
      </c>
      <c r="M233" s="2">
        <v>45263</v>
      </c>
      <c r="N233" s="25">
        <f t="shared" si="23"/>
        <v>599.96</v>
      </c>
      <c r="O233" s="4">
        <f t="shared" ca="1" si="24"/>
        <v>46324.650590393518</v>
      </c>
      <c r="P233" s="5">
        <f t="shared" ca="1" si="25"/>
        <v>46324</v>
      </c>
      <c r="Q233" t="str">
        <f t="shared" si="26"/>
        <v>January</v>
      </c>
      <c r="R233">
        <f t="shared" si="27"/>
        <v>15</v>
      </c>
      <c r="T233">
        <v>35</v>
      </c>
      <c r="X233" t="str">
        <f t="shared" si="28"/>
        <v>CA</v>
      </c>
      <c r="AF233" t="str">
        <f t="shared" si="29"/>
        <v>no match</v>
      </c>
    </row>
    <row r="234" spans="1:32" ht="29" x14ac:dyDescent="0.35">
      <c r="A234" s="1" t="s">
        <v>427</v>
      </c>
      <c r="B234" s="2">
        <v>45726</v>
      </c>
      <c r="C234" s="1" t="s">
        <v>192</v>
      </c>
      <c r="D234" s="1" t="s">
        <v>193</v>
      </c>
      <c r="E234" s="1" t="s">
        <v>69</v>
      </c>
      <c r="F234" s="1" t="s">
        <v>70</v>
      </c>
      <c r="G234" s="1" t="s">
        <v>28</v>
      </c>
      <c r="H234" s="3">
        <v>1</v>
      </c>
      <c r="I234" s="26">
        <v>249.99</v>
      </c>
      <c r="J234" s="1" t="s">
        <v>71</v>
      </c>
      <c r="K234" s="1" t="s">
        <v>89</v>
      </c>
      <c r="L234" s="1" t="s">
        <v>85</v>
      </c>
      <c r="M234" s="2">
        <v>45117</v>
      </c>
      <c r="N234" s="25">
        <f t="shared" si="23"/>
        <v>249.99</v>
      </c>
      <c r="O234" s="4">
        <f t="shared" ca="1" si="24"/>
        <v>46324.650590393518</v>
      </c>
      <c r="P234" s="5">
        <f t="shared" ca="1" si="25"/>
        <v>46324</v>
      </c>
      <c r="Q234" t="str">
        <f t="shared" si="26"/>
        <v>August</v>
      </c>
      <c r="R234">
        <f t="shared" si="27"/>
        <v>20</v>
      </c>
      <c r="T234">
        <v>26</v>
      </c>
      <c r="X234" t="str">
        <f t="shared" si="28"/>
        <v>HM</v>
      </c>
      <c r="AF234">
        <f t="shared" si="29"/>
        <v>249.99</v>
      </c>
    </row>
    <row r="235" spans="1:32" ht="29" x14ac:dyDescent="0.35">
      <c r="A235" s="1" t="s">
        <v>428</v>
      </c>
      <c r="B235" s="2">
        <v>45734</v>
      </c>
      <c r="C235" s="1" t="s">
        <v>240</v>
      </c>
      <c r="D235" s="1" t="s">
        <v>241</v>
      </c>
      <c r="E235" s="1" t="s">
        <v>82</v>
      </c>
      <c r="F235" s="1" t="s">
        <v>83</v>
      </c>
      <c r="G235" s="1" t="s">
        <v>27</v>
      </c>
      <c r="H235" s="3">
        <v>2</v>
      </c>
      <c r="I235" s="26">
        <v>59.99</v>
      </c>
      <c r="J235" s="1" t="s">
        <v>77</v>
      </c>
      <c r="K235" s="1" t="s">
        <v>98</v>
      </c>
      <c r="L235" s="1" t="s">
        <v>73</v>
      </c>
      <c r="M235" s="2">
        <v>45193</v>
      </c>
      <c r="N235" s="25">
        <f t="shared" si="23"/>
        <v>119.98</v>
      </c>
      <c r="O235" s="4">
        <f t="shared" ca="1" si="24"/>
        <v>46324.650590393518</v>
      </c>
      <c r="P235" s="5">
        <f t="shared" ca="1" si="25"/>
        <v>46324</v>
      </c>
      <c r="Q235" t="str">
        <f t="shared" si="26"/>
        <v>October</v>
      </c>
      <c r="R235">
        <f t="shared" si="27"/>
        <v>17</v>
      </c>
      <c r="T235">
        <v>29</v>
      </c>
      <c r="X235" t="str">
        <f t="shared" si="28"/>
        <v>FT</v>
      </c>
      <c r="AF235" t="str">
        <f t="shared" si="29"/>
        <v>no match</v>
      </c>
    </row>
    <row r="236" spans="1:32" ht="29" x14ac:dyDescent="0.35">
      <c r="A236" s="1" t="s">
        <v>429</v>
      </c>
      <c r="B236" s="2">
        <v>45737</v>
      </c>
      <c r="C236" s="1" t="s">
        <v>180</v>
      </c>
      <c r="D236" s="1" t="s">
        <v>181</v>
      </c>
      <c r="E236" s="1" t="s">
        <v>93</v>
      </c>
      <c r="F236" s="1" t="s">
        <v>94</v>
      </c>
      <c r="G236" s="1" t="s">
        <v>29</v>
      </c>
      <c r="H236" s="3">
        <v>2</v>
      </c>
      <c r="I236" s="26">
        <v>149.99</v>
      </c>
      <c r="J236" s="1" t="s">
        <v>71</v>
      </c>
      <c r="K236" s="1" t="s">
        <v>98</v>
      </c>
      <c r="L236" s="1" t="s">
        <v>78</v>
      </c>
      <c r="M236" s="2">
        <v>45233</v>
      </c>
      <c r="N236" s="25">
        <f t="shared" si="23"/>
        <v>299.98</v>
      </c>
      <c r="O236" s="4">
        <f t="shared" ca="1" si="24"/>
        <v>46324.650590393518</v>
      </c>
      <c r="P236" s="5">
        <f t="shared" ca="1" si="25"/>
        <v>46324</v>
      </c>
      <c r="Q236" t="str">
        <f t="shared" si="26"/>
        <v>December</v>
      </c>
      <c r="R236">
        <f t="shared" si="27"/>
        <v>16</v>
      </c>
      <c r="T236">
        <v>35</v>
      </c>
      <c r="X236" t="str">
        <f t="shared" si="28"/>
        <v>EW</v>
      </c>
      <c r="AF236" t="str">
        <f t="shared" si="29"/>
        <v>no match</v>
      </c>
    </row>
    <row r="237" spans="1:32" ht="29" x14ac:dyDescent="0.35">
      <c r="A237" s="1" t="s">
        <v>430</v>
      </c>
      <c r="B237" s="2">
        <v>45737</v>
      </c>
      <c r="C237" s="1" t="s">
        <v>198</v>
      </c>
      <c r="D237" s="1" t="s">
        <v>199</v>
      </c>
      <c r="E237" s="1" t="s">
        <v>109</v>
      </c>
      <c r="F237" s="1" t="s">
        <v>110</v>
      </c>
      <c r="G237" s="1" t="s">
        <v>28</v>
      </c>
      <c r="H237" s="3">
        <v>3</v>
      </c>
      <c r="I237" s="26">
        <v>899.99</v>
      </c>
      <c r="J237" s="1" t="s">
        <v>105</v>
      </c>
      <c r="K237" s="1" t="s">
        <v>89</v>
      </c>
      <c r="L237" s="1" t="s">
        <v>78</v>
      </c>
      <c r="M237" s="2">
        <v>44876</v>
      </c>
      <c r="N237" s="25">
        <f t="shared" si="23"/>
        <v>2699.9700000000003</v>
      </c>
      <c r="O237" s="4">
        <f t="shared" ca="1" si="24"/>
        <v>46324.650590393518</v>
      </c>
      <c r="P237" s="5">
        <f t="shared" ca="1" si="25"/>
        <v>46324</v>
      </c>
      <c r="Q237" t="str">
        <f t="shared" si="26"/>
        <v>December</v>
      </c>
      <c r="R237">
        <f t="shared" si="27"/>
        <v>28</v>
      </c>
      <c r="T237">
        <v>24</v>
      </c>
      <c r="X237" t="str">
        <f t="shared" si="28"/>
        <v>SB</v>
      </c>
      <c r="AF237" t="str">
        <f t="shared" si="29"/>
        <v>no match</v>
      </c>
    </row>
    <row r="238" spans="1:32" ht="29" x14ac:dyDescent="0.35">
      <c r="A238" s="1" t="s">
        <v>431</v>
      </c>
      <c r="B238" s="2">
        <v>45737</v>
      </c>
      <c r="C238" s="1" t="s">
        <v>96</v>
      </c>
      <c r="D238" s="1" t="s">
        <v>97</v>
      </c>
      <c r="E238" s="1" t="s">
        <v>109</v>
      </c>
      <c r="F238" s="1" t="s">
        <v>110</v>
      </c>
      <c r="G238" s="1" t="s">
        <v>28</v>
      </c>
      <c r="H238" s="3">
        <v>3</v>
      </c>
      <c r="I238" s="26">
        <v>899.99</v>
      </c>
      <c r="J238" s="1" t="s">
        <v>84</v>
      </c>
      <c r="K238" s="1" t="s">
        <v>89</v>
      </c>
      <c r="L238" s="1" t="s">
        <v>73</v>
      </c>
      <c r="M238" s="2">
        <v>44975</v>
      </c>
      <c r="N238" s="25">
        <f t="shared" si="23"/>
        <v>2699.9700000000003</v>
      </c>
      <c r="O238" s="4">
        <f t="shared" ca="1" si="24"/>
        <v>46324.650590393518</v>
      </c>
      <c r="P238" s="5">
        <f t="shared" ca="1" si="25"/>
        <v>46324</v>
      </c>
      <c r="Q238" t="str">
        <f t="shared" si="26"/>
        <v>March</v>
      </c>
      <c r="R238">
        <f t="shared" si="27"/>
        <v>25</v>
      </c>
      <c r="T238">
        <v>24</v>
      </c>
      <c r="X238" t="str">
        <f t="shared" si="28"/>
        <v>DN</v>
      </c>
      <c r="AF238" t="str">
        <f t="shared" si="29"/>
        <v>no match</v>
      </c>
    </row>
    <row r="239" spans="1:32" ht="29" x14ac:dyDescent="0.35">
      <c r="A239" s="1" t="s">
        <v>432</v>
      </c>
      <c r="B239" s="2">
        <v>45739</v>
      </c>
      <c r="C239" s="1" t="s">
        <v>67</v>
      </c>
      <c r="D239" s="1" t="s">
        <v>68</v>
      </c>
      <c r="E239" s="1" t="s">
        <v>153</v>
      </c>
      <c r="F239" s="1" t="s">
        <v>154</v>
      </c>
      <c r="G239" s="1" t="s">
        <v>29</v>
      </c>
      <c r="H239" s="3">
        <v>3</v>
      </c>
      <c r="I239" s="26">
        <v>299.99</v>
      </c>
      <c r="J239" s="1" t="s">
        <v>77</v>
      </c>
      <c r="K239" s="1" t="s">
        <v>98</v>
      </c>
      <c r="L239" s="1" t="s">
        <v>78</v>
      </c>
      <c r="M239" s="2">
        <v>45234</v>
      </c>
      <c r="N239" s="25">
        <f t="shared" si="23"/>
        <v>899.97</v>
      </c>
      <c r="O239" s="4">
        <f t="shared" ca="1" si="24"/>
        <v>46324.650590393518</v>
      </c>
      <c r="P239" s="5">
        <f t="shared" ca="1" si="25"/>
        <v>46324</v>
      </c>
      <c r="Q239" t="str">
        <f t="shared" si="26"/>
        <v>December</v>
      </c>
      <c r="R239">
        <f t="shared" si="27"/>
        <v>16</v>
      </c>
      <c r="T239">
        <v>26</v>
      </c>
      <c r="X239" t="str">
        <f t="shared" si="28"/>
        <v>PB</v>
      </c>
      <c r="AF239" t="str">
        <f t="shared" si="29"/>
        <v>no match</v>
      </c>
    </row>
    <row r="240" spans="1:32" ht="29" x14ac:dyDescent="0.35">
      <c r="A240" s="1" t="s">
        <v>433</v>
      </c>
      <c r="B240" s="2">
        <v>45740</v>
      </c>
      <c r="C240" s="1" t="s">
        <v>434</v>
      </c>
      <c r="D240" s="1" t="s">
        <v>435</v>
      </c>
      <c r="E240" s="1" t="s">
        <v>93</v>
      </c>
      <c r="F240" s="1" t="s">
        <v>94</v>
      </c>
      <c r="G240" s="1" t="s">
        <v>29</v>
      </c>
      <c r="H240" s="3">
        <v>4</v>
      </c>
      <c r="I240" s="26">
        <v>149.99</v>
      </c>
      <c r="J240" s="1" t="s">
        <v>84</v>
      </c>
      <c r="K240" s="1" t="s">
        <v>98</v>
      </c>
      <c r="L240" s="1" t="s">
        <v>85</v>
      </c>
      <c r="M240" s="2">
        <v>44560</v>
      </c>
      <c r="N240" s="25">
        <f t="shared" si="23"/>
        <v>599.96</v>
      </c>
      <c r="O240" s="4">
        <f t="shared" ca="1" si="24"/>
        <v>46324.650590393518</v>
      </c>
      <c r="P240" s="5">
        <f t="shared" ca="1" si="25"/>
        <v>46324</v>
      </c>
      <c r="Q240" t="str">
        <f t="shared" si="26"/>
        <v>January</v>
      </c>
      <c r="R240">
        <f t="shared" si="27"/>
        <v>38</v>
      </c>
      <c r="T240">
        <v>35</v>
      </c>
      <c r="X240" t="str">
        <f t="shared" si="28"/>
        <v>JS</v>
      </c>
      <c r="AF240" t="str">
        <f t="shared" si="29"/>
        <v>no match</v>
      </c>
    </row>
    <row r="241" spans="1:32" ht="29" x14ac:dyDescent="0.35">
      <c r="A241" s="1" t="s">
        <v>436</v>
      </c>
      <c r="B241" s="2">
        <v>45743</v>
      </c>
      <c r="C241" s="1" t="s">
        <v>150</v>
      </c>
      <c r="D241" s="1" t="s">
        <v>151</v>
      </c>
      <c r="E241" s="1" t="s">
        <v>162</v>
      </c>
      <c r="F241" s="1" t="s">
        <v>163</v>
      </c>
      <c r="G241" s="1" t="s">
        <v>27</v>
      </c>
      <c r="H241" s="3">
        <v>4</v>
      </c>
      <c r="I241" s="26">
        <v>79.989999999999995</v>
      </c>
      <c r="J241" s="1" t="s">
        <v>77</v>
      </c>
      <c r="K241" s="1" t="s">
        <v>72</v>
      </c>
      <c r="L241" s="1" t="s">
        <v>73</v>
      </c>
      <c r="M241" s="2">
        <v>45288</v>
      </c>
      <c r="N241" s="25">
        <f t="shared" si="23"/>
        <v>319.95999999999998</v>
      </c>
      <c r="O241" s="4">
        <f t="shared" ca="1" si="24"/>
        <v>46324.650590393518</v>
      </c>
      <c r="P241" s="5">
        <f t="shared" ca="1" si="25"/>
        <v>46324</v>
      </c>
      <c r="Q241" t="str">
        <f t="shared" si="26"/>
        <v>January</v>
      </c>
      <c r="R241">
        <f t="shared" si="27"/>
        <v>14</v>
      </c>
      <c r="T241">
        <v>14</v>
      </c>
      <c r="X241" t="str">
        <f t="shared" si="28"/>
        <v>CP</v>
      </c>
      <c r="AF241" t="str">
        <f t="shared" si="29"/>
        <v>no match</v>
      </c>
    </row>
    <row r="242" spans="1:32" ht="29" x14ac:dyDescent="0.35">
      <c r="A242" s="1" t="s">
        <v>437</v>
      </c>
      <c r="B242" s="2">
        <v>45745</v>
      </c>
      <c r="C242" s="1" t="s">
        <v>233</v>
      </c>
      <c r="D242" s="1" t="s">
        <v>234</v>
      </c>
      <c r="E242" s="1" t="s">
        <v>165</v>
      </c>
      <c r="F242" s="1" t="s">
        <v>166</v>
      </c>
      <c r="G242" s="1" t="s">
        <v>28</v>
      </c>
      <c r="H242" s="3">
        <v>5</v>
      </c>
      <c r="I242" s="26">
        <v>89.99</v>
      </c>
      <c r="J242" s="1" t="s">
        <v>84</v>
      </c>
      <c r="K242" s="1" t="s">
        <v>52</v>
      </c>
      <c r="L242" s="1" t="s">
        <v>73</v>
      </c>
      <c r="M242" s="2">
        <v>44704</v>
      </c>
      <c r="N242" s="25">
        <f t="shared" si="23"/>
        <v>449.95</v>
      </c>
      <c r="O242" s="4">
        <f t="shared" ca="1" si="24"/>
        <v>46324.650590393518</v>
      </c>
      <c r="P242" s="5">
        <f t="shared" ca="1" si="25"/>
        <v>46324</v>
      </c>
      <c r="Q242" t="str">
        <f t="shared" si="26"/>
        <v>June</v>
      </c>
      <c r="R242">
        <f t="shared" si="27"/>
        <v>34</v>
      </c>
      <c r="T242">
        <v>34</v>
      </c>
      <c r="X242" t="str">
        <f t="shared" si="28"/>
        <v>MW</v>
      </c>
      <c r="AF242" t="str">
        <f t="shared" si="29"/>
        <v>no match</v>
      </c>
    </row>
    <row r="243" spans="1:32" ht="29" x14ac:dyDescent="0.35">
      <c r="A243" s="1" t="s">
        <v>438</v>
      </c>
      <c r="B243" s="2">
        <v>45746</v>
      </c>
      <c r="C243" s="1" t="s">
        <v>141</v>
      </c>
      <c r="D243" s="1" t="s">
        <v>142</v>
      </c>
      <c r="E243" s="1" t="s">
        <v>93</v>
      </c>
      <c r="F243" s="1" t="s">
        <v>94</v>
      </c>
      <c r="G243" s="1" t="s">
        <v>29</v>
      </c>
      <c r="H243" s="3">
        <v>3</v>
      </c>
      <c r="I243" s="26">
        <v>149.99</v>
      </c>
      <c r="J243" s="1" t="s">
        <v>84</v>
      </c>
      <c r="K243" s="1" t="s">
        <v>72</v>
      </c>
      <c r="L243" s="1" t="s">
        <v>85</v>
      </c>
      <c r="M243" s="2">
        <v>45171</v>
      </c>
      <c r="N243" s="25">
        <f t="shared" si="23"/>
        <v>449.97</v>
      </c>
      <c r="O243" s="4">
        <f t="shared" ca="1" si="24"/>
        <v>46324.650590393518</v>
      </c>
      <c r="P243" s="5">
        <f t="shared" ca="1" si="25"/>
        <v>46324</v>
      </c>
      <c r="Q243" t="str">
        <f t="shared" si="26"/>
        <v>October</v>
      </c>
      <c r="R243">
        <f t="shared" si="27"/>
        <v>18</v>
      </c>
      <c r="T243">
        <v>35</v>
      </c>
      <c r="X243" t="str">
        <f t="shared" si="28"/>
        <v>VS</v>
      </c>
      <c r="AF243" t="str">
        <f t="shared" si="29"/>
        <v>no match</v>
      </c>
    </row>
    <row r="244" spans="1:32" ht="29" x14ac:dyDescent="0.35">
      <c r="A244" s="1" t="s">
        <v>439</v>
      </c>
      <c r="B244" s="2">
        <v>45746</v>
      </c>
      <c r="C244" s="1" t="s">
        <v>113</v>
      </c>
      <c r="D244" s="1" t="s">
        <v>114</v>
      </c>
      <c r="E244" s="1" t="s">
        <v>165</v>
      </c>
      <c r="F244" s="1" t="s">
        <v>166</v>
      </c>
      <c r="G244" s="1" t="s">
        <v>28</v>
      </c>
      <c r="H244" s="3">
        <v>2</v>
      </c>
      <c r="I244" s="26">
        <v>89.99</v>
      </c>
      <c r="J244" s="1" t="s">
        <v>105</v>
      </c>
      <c r="K244" s="1" t="s">
        <v>98</v>
      </c>
      <c r="L244" s="1" t="s">
        <v>78</v>
      </c>
      <c r="M244" s="2">
        <v>44522</v>
      </c>
      <c r="N244" s="25">
        <f t="shared" si="23"/>
        <v>179.98</v>
      </c>
      <c r="O244" s="4">
        <f t="shared" ca="1" si="24"/>
        <v>46324.650590393518</v>
      </c>
      <c r="P244" s="5">
        <f t="shared" ca="1" si="25"/>
        <v>46324</v>
      </c>
      <c r="Q244" t="str">
        <f t="shared" si="26"/>
        <v>December</v>
      </c>
      <c r="R244">
        <f t="shared" si="27"/>
        <v>40</v>
      </c>
      <c r="T244">
        <v>34</v>
      </c>
      <c r="X244" t="str">
        <f t="shared" si="28"/>
        <v>KH</v>
      </c>
      <c r="AF244" t="str">
        <f t="shared" si="29"/>
        <v>no match</v>
      </c>
    </row>
    <row r="245" spans="1:32" ht="29" x14ac:dyDescent="0.35">
      <c r="A245" s="1" t="s">
        <v>440</v>
      </c>
      <c r="B245" s="2">
        <v>45748</v>
      </c>
      <c r="C245" s="1" t="s">
        <v>150</v>
      </c>
      <c r="D245" s="1" t="s">
        <v>151</v>
      </c>
      <c r="E245" s="1" t="s">
        <v>128</v>
      </c>
      <c r="F245" s="1" t="s">
        <v>129</v>
      </c>
      <c r="G245" s="1" t="s">
        <v>28</v>
      </c>
      <c r="H245" s="3">
        <v>2</v>
      </c>
      <c r="I245" s="26">
        <v>699.99</v>
      </c>
      <c r="J245" s="1" t="s">
        <v>84</v>
      </c>
      <c r="K245" s="1" t="s">
        <v>89</v>
      </c>
      <c r="L245" s="1" t="s">
        <v>85</v>
      </c>
      <c r="M245" s="2">
        <v>44618</v>
      </c>
      <c r="N245" s="25">
        <f t="shared" si="23"/>
        <v>1399.98</v>
      </c>
      <c r="O245" s="4">
        <f t="shared" ca="1" si="24"/>
        <v>46324.650590393518</v>
      </c>
      <c r="P245" s="5">
        <f t="shared" ca="1" si="25"/>
        <v>46324</v>
      </c>
      <c r="Q245" t="str">
        <f t="shared" si="26"/>
        <v>March</v>
      </c>
      <c r="R245">
        <f t="shared" si="27"/>
        <v>37</v>
      </c>
      <c r="T245">
        <v>31</v>
      </c>
      <c r="X245" t="str">
        <f t="shared" si="28"/>
        <v>CP</v>
      </c>
      <c r="AF245" t="str">
        <f t="shared" si="29"/>
        <v>no match</v>
      </c>
    </row>
    <row r="246" spans="1:32" ht="29" x14ac:dyDescent="0.35">
      <c r="A246" s="1" t="s">
        <v>441</v>
      </c>
      <c r="B246" s="2">
        <v>45749</v>
      </c>
      <c r="C246" s="1" t="s">
        <v>171</v>
      </c>
      <c r="D246" s="1" t="s">
        <v>172</v>
      </c>
      <c r="E246" s="1" t="s">
        <v>109</v>
      </c>
      <c r="F246" s="1" t="s">
        <v>110</v>
      </c>
      <c r="G246" s="1" t="s">
        <v>28</v>
      </c>
      <c r="H246" s="3">
        <v>3</v>
      </c>
      <c r="I246" s="26">
        <v>899.99</v>
      </c>
      <c r="J246" s="1" t="s">
        <v>71</v>
      </c>
      <c r="K246" s="1" t="s">
        <v>72</v>
      </c>
      <c r="L246" s="1" t="s">
        <v>85</v>
      </c>
      <c r="M246" s="2">
        <v>44953</v>
      </c>
      <c r="N246" s="25">
        <f t="shared" si="23"/>
        <v>2699.9700000000003</v>
      </c>
      <c r="O246" s="4">
        <f t="shared" ca="1" si="24"/>
        <v>46324.650590393518</v>
      </c>
      <c r="P246" s="5">
        <f t="shared" ca="1" si="25"/>
        <v>46324</v>
      </c>
      <c r="Q246" t="str">
        <f t="shared" si="26"/>
        <v>February</v>
      </c>
      <c r="R246">
        <f t="shared" si="27"/>
        <v>26</v>
      </c>
      <c r="T246">
        <v>24</v>
      </c>
      <c r="X246" t="str">
        <f t="shared" si="28"/>
        <v>EM</v>
      </c>
      <c r="AF246" t="str">
        <f t="shared" si="29"/>
        <v>no match</v>
      </c>
    </row>
    <row r="247" spans="1:32" ht="29" x14ac:dyDescent="0.35">
      <c r="A247" s="1" t="s">
        <v>442</v>
      </c>
      <c r="B247" s="2">
        <v>45755</v>
      </c>
      <c r="C247" s="1" t="s">
        <v>141</v>
      </c>
      <c r="D247" s="1" t="s">
        <v>142</v>
      </c>
      <c r="E247" s="1" t="s">
        <v>162</v>
      </c>
      <c r="F247" s="1" t="s">
        <v>163</v>
      </c>
      <c r="G247" s="1" t="s">
        <v>27</v>
      </c>
      <c r="H247" s="3">
        <v>3</v>
      </c>
      <c r="I247" s="26">
        <v>79.989999999999995</v>
      </c>
      <c r="J247" s="1" t="s">
        <v>77</v>
      </c>
      <c r="K247" s="1" t="s">
        <v>89</v>
      </c>
      <c r="L247" s="1" t="s">
        <v>73</v>
      </c>
      <c r="M247" s="2">
        <v>44511</v>
      </c>
      <c r="N247" s="25">
        <f t="shared" si="23"/>
        <v>239.96999999999997</v>
      </c>
      <c r="O247" s="4">
        <f t="shared" ca="1" si="24"/>
        <v>46324.650590393518</v>
      </c>
      <c r="P247" s="5">
        <f t="shared" ca="1" si="25"/>
        <v>46324</v>
      </c>
      <c r="Q247" t="str">
        <f t="shared" si="26"/>
        <v>December</v>
      </c>
      <c r="R247">
        <f t="shared" si="27"/>
        <v>40</v>
      </c>
      <c r="T247">
        <v>14</v>
      </c>
      <c r="X247" t="str">
        <f t="shared" si="28"/>
        <v>VS</v>
      </c>
      <c r="AF247" t="str">
        <f t="shared" si="29"/>
        <v>no match</v>
      </c>
    </row>
    <row r="248" spans="1:32" ht="29" x14ac:dyDescent="0.35">
      <c r="A248" s="1" t="s">
        <v>443</v>
      </c>
      <c r="B248" s="2">
        <v>45756</v>
      </c>
      <c r="C248" s="1" t="s">
        <v>107</v>
      </c>
      <c r="D248" s="1" t="s">
        <v>108</v>
      </c>
      <c r="E248" s="1" t="s">
        <v>165</v>
      </c>
      <c r="F248" s="1" t="s">
        <v>166</v>
      </c>
      <c r="G248" s="1" t="s">
        <v>28</v>
      </c>
      <c r="H248" s="3">
        <v>1</v>
      </c>
      <c r="I248" s="26">
        <v>89.99</v>
      </c>
      <c r="J248" s="1" t="s">
        <v>105</v>
      </c>
      <c r="K248" s="1" t="s">
        <v>111</v>
      </c>
      <c r="L248" s="1" t="s">
        <v>73</v>
      </c>
      <c r="M248" s="2">
        <v>45346</v>
      </c>
      <c r="N248" s="25">
        <f t="shared" si="23"/>
        <v>89.99</v>
      </c>
      <c r="O248" s="4">
        <f t="shared" ca="1" si="24"/>
        <v>46324.650590393518</v>
      </c>
      <c r="P248" s="5">
        <f t="shared" ca="1" si="25"/>
        <v>46324</v>
      </c>
      <c r="Q248" t="str">
        <f t="shared" si="26"/>
        <v>March</v>
      </c>
      <c r="R248">
        <f t="shared" si="27"/>
        <v>13</v>
      </c>
      <c r="T248">
        <v>34</v>
      </c>
      <c r="X248" t="str">
        <f t="shared" si="28"/>
        <v>RT</v>
      </c>
      <c r="AF248">
        <f t="shared" si="29"/>
        <v>89.99</v>
      </c>
    </row>
    <row r="249" spans="1:32" ht="29" x14ac:dyDescent="0.35">
      <c r="A249" s="1" t="s">
        <v>444</v>
      </c>
      <c r="B249" s="2">
        <v>45758</v>
      </c>
      <c r="C249" s="1" t="s">
        <v>341</v>
      </c>
      <c r="D249" s="1" t="s">
        <v>342</v>
      </c>
      <c r="E249" s="1" t="s">
        <v>128</v>
      </c>
      <c r="F249" s="1" t="s">
        <v>129</v>
      </c>
      <c r="G249" s="1" t="s">
        <v>28</v>
      </c>
      <c r="H249" s="3">
        <v>3</v>
      </c>
      <c r="I249" s="26">
        <v>699.99</v>
      </c>
      <c r="J249" s="1" t="s">
        <v>84</v>
      </c>
      <c r="K249" s="1" t="s">
        <v>89</v>
      </c>
      <c r="L249" s="1" t="s">
        <v>73</v>
      </c>
      <c r="M249" s="2">
        <v>44909</v>
      </c>
      <c r="N249" s="25">
        <f t="shared" si="23"/>
        <v>2099.9700000000003</v>
      </c>
      <c r="O249" s="4">
        <f t="shared" ca="1" si="24"/>
        <v>46324.650590393518</v>
      </c>
      <c r="P249" s="5">
        <f t="shared" ca="1" si="25"/>
        <v>46324</v>
      </c>
      <c r="Q249" t="str">
        <f t="shared" si="26"/>
        <v>January</v>
      </c>
      <c r="R249">
        <f t="shared" si="27"/>
        <v>27</v>
      </c>
      <c r="T249">
        <v>31</v>
      </c>
      <c r="X249" t="str">
        <f t="shared" si="28"/>
        <v>DW</v>
      </c>
      <c r="AF249" t="str">
        <f t="shared" si="29"/>
        <v>no match</v>
      </c>
    </row>
    <row r="250" spans="1:32" ht="29" x14ac:dyDescent="0.35">
      <c r="A250" s="1" t="s">
        <v>445</v>
      </c>
      <c r="B250" s="2">
        <v>45758</v>
      </c>
      <c r="C250" s="1" t="s">
        <v>274</v>
      </c>
      <c r="D250" s="1" t="s">
        <v>275</v>
      </c>
      <c r="E250" s="1" t="s">
        <v>165</v>
      </c>
      <c r="F250" s="1" t="s">
        <v>166</v>
      </c>
      <c r="G250" s="1" t="s">
        <v>28</v>
      </c>
      <c r="H250" s="3">
        <v>2</v>
      </c>
      <c r="I250" s="26">
        <v>89.99</v>
      </c>
      <c r="J250" s="1" t="s">
        <v>105</v>
      </c>
      <c r="K250" s="1" t="s">
        <v>111</v>
      </c>
      <c r="L250" s="1" t="s">
        <v>73</v>
      </c>
      <c r="M250" s="2">
        <v>45088</v>
      </c>
      <c r="N250" s="25">
        <f t="shared" si="23"/>
        <v>179.98</v>
      </c>
      <c r="O250" s="4">
        <f t="shared" ca="1" si="24"/>
        <v>46324.650590393518</v>
      </c>
      <c r="P250" s="5">
        <f t="shared" ca="1" si="25"/>
        <v>46324</v>
      </c>
      <c r="Q250" t="str">
        <f t="shared" si="26"/>
        <v>July</v>
      </c>
      <c r="R250">
        <f t="shared" si="27"/>
        <v>22</v>
      </c>
      <c r="T250">
        <v>34</v>
      </c>
      <c r="X250" t="str">
        <f t="shared" si="28"/>
        <v>LR</v>
      </c>
      <c r="AF250" t="str">
        <f t="shared" si="29"/>
        <v>no match</v>
      </c>
    </row>
    <row r="251" spans="1:32" ht="29" x14ac:dyDescent="0.35">
      <c r="A251" s="1" t="s">
        <v>446</v>
      </c>
      <c r="B251" s="2">
        <v>45758</v>
      </c>
      <c r="C251" s="1" t="s">
        <v>186</v>
      </c>
      <c r="D251" s="1" t="s">
        <v>187</v>
      </c>
      <c r="E251" s="1" t="s">
        <v>165</v>
      </c>
      <c r="F251" s="1" t="s">
        <v>166</v>
      </c>
      <c r="G251" s="1" t="s">
        <v>28</v>
      </c>
      <c r="H251" s="3">
        <v>3</v>
      </c>
      <c r="I251" s="26">
        <v>89.99</v>
      </c>
      <c r="J251" s="1" t="s">
        <v>105</v>
      </c>
      <c r="K251" s="1" t="s">
        <v>89</v>
      </c>
      <c r="L251" s="1" t="s">
        <v>78</v>
      </c>
      <c r="M251" s="2">
        <v>44878</v>
      </c>
      <c r="N251" s="25">
        <f t="shared" si="23"/>
        <v>269.96999999999997</v>
      </c>
      <c r="O251" s="4">
        <f t="shared" ca="1" si="24"/>
        <v>46324.650590393518</v>
      </c>
      <c r="P251" s="5">
        <f t="shared" ca="1" si="25"/>
        <v>46324</v>
      </c>
      <c r="Q251" t="str">
        <f t="shared" si="26"/>
        <v>December</v>
      </c>
      <c r="R251">
        <f t="shared" si="27"/>
        <v>28</v>
      </c>
      <c r="T251">
        <v>34</v>
      </c>
      <c r="X251" t="str">
        <f t="shared" si="28"/>
        <v>ST</v>
      </c>
      <c r="AF251" t="str">
        <f t="shared" si="29"/>
        <v>no match</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D37C6253-AF16-473B-AB28-45C9C641CAD1}">
            <x14:iconSet iconSet="3Triangles">
              <x14:cfvo type="percent">
                <xm:f>0</xm:f>
              </x14:cfvo>
              <x14:cfvo type="percent">
                <xm:f>33</xm:f>
              </x14:cfvo>
              <x14:cfvo type="percent">
                <xm:f>67</xm:f>
              </x14:cfvo>
            </x14:iconSet>
          </x14:cfRule>
          <xm:sqref>N2:N251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D07D-56DD-4CC1-AA30-EB16D16AD980}">
  <dimension ref="A1:K98"/>
  <sheetViews>
    <sheetView workbookViewId="0">
      <selection activeCell="M9" sqref="M9"/>
    </sheetView>
  </sheetViews>
  <sheetFormatPr defaultRowHeight="14.5" x14ac:dyDescent="0.35"/>
  <cols>
    <col min="1" max="1" width="17.1796875" customWidth="1"/>
    <col min="10" max="10" width="11.1796875" bestFit="1" customWidth="1"/>
    <col min="11" max="11" width="10.26953125" bestFit="1" customWidth="1"/>
  </cols>
  <sheetData>
    <row r="1" spans="1:11" x14ac:dyDescent="0.35">
      <c r="A1" t="s">
        <v>454</v>
      </c>
    </row>
    <row r="3" spans="1:11" ht="43.5" x14ac:dyDescent="0.35">
      <c r="A3" s="9" t="s">
        <v>56</v>
      </c>
      <c r="B3" s="9" t="s">
        <v>57</v>
      </c>
      <c r="C3" s="9" t="s">
        <v>58</v>
      </c>
      <c r="D3" s="9" t="s">
        <v>59</v>
      </c>
      <c r="E3" s="9" t="s">
        <v>24</v>
      </c>
      <c r="F3" s="9" t="s">
        <v>60</v>
      </c>
      <c r="G3" s="9" t="s">
        <v>61</v>
      </c>
      <c r="H3" s="9" t="s">
        <v>62</v>
      </c>
      <c r="I3" s="9" t="s">
        <v>63</v>
      </c>
      <c r="J3" s="9" t="s">
        <v>64</v>
      </c>
      <c r="K3" s="9" t="s">
        <v>65</v>
      </c>
    </row>
    <row r="4" spans="1:11" x14ac:dyDescent="0.35">
      <c r="A4" t="str" cm="1">
        <f t="array" ref="A4:K98">_xlfn._xlws.FILTER(Sheet7!D2:N251,Sheet7!L2:L251="Premium","not a premiun")</f>
        <v>Joseph Jackson</v>
      </c>
      <c r="B4" t="str">
        <v>P009</v>
      </c>
      <c r="C4" t="str">
        <v>Monitor</v>
      </c>
      <c r="D4" t="str">
        <v>Electronics</v>
      </c>
      <c r="E4">
        <v>3</v>
      </c>
      <c r="F4" s="23">
        <v>249.99</v>
      </c>
      <c r="G4" t="str">
        <v>Credit Card</v>
      </c>
      <c r="H4" t="str">
        <v>Central</v>
      </c>
      <c r="I4" t="str">
        <v>Premium</v>
      </c>
      <c r="J4" s="5">
        <v>44575</v>
      </c>
      <c r="K4" s="22">
        <v>749.97</v>
      </c>
    </row>
    <row r="5" spans="1:11" x14ac:dyDescent="0.35">
      <c r="A5" t="str">
        <v>Kathleen Bennett</v>
      </c>
      <c r="B5" t="str">
        <v>P005</v>
      </c>
      <c r="C5" t="str">
        <v>Blender</v>
      </c>
      <c r="D5" t="str">
        <v>Appliances</v>
      </c>
      <c r="E5">
        <v>3</v>
      </c>
      <c r="F5" s="23">
        <v>59.99</v>
      </c>
      <c r="G5" t="str">
        <v>Cash</v>
      </c>
      <c r="H5" t="str">
        <v>North</v>
      </c>
      <c r="I5" t="str">
        <v>Premium</v>
      </c>
      <c r="J5" s="5">
        <v>45114</v>
      </c>
      <c r="K5" s="22">
        <v>179.97</v>
      </c>
    </row>
    <row r="6" spans="1:11" x14ac:dyDescent="0.35">
      <c r="A6" t="str">
        <v>Michael Brown</v>
      </c>
      <c r="B6" t="str">
        <v>P008</v>
      </c>
      <c r="C6" t="str">
        <v>Bookshelf</v>
      </c>
      <c r="D6" t="str">
        <v>Furniture</v>
      </c>
      <c r="E6">
        <v>5</v>
      </c>
      <c r="F6" s="23">
        <v>149.99</v>
      </c>
      <c r="G6" t="str">
        <v>Credit Card</v>
      </c>
      <c r="H6" t="str">
        <v>North</v>
      </c>
      <c r="I6" t="str">
        <v>Premium</v>
      </c>
      <c r="J6" s="5">
        <v>45295</v>
      </c>
      <c r="K6" s="22">
        <v>749.95</v>
      </c>
    </row>
    <row r="7" spans="1:11" x14ac:dyDescent="0.35">
      <c r="A7" t="str">
        <v>Karen Hill</v>
      </c>
      <c r="B7" t="str">
        <v>P005</v>
      </c>
      <c r="C7" t="str">
        <v>Blender</v>
      </c>
      <c r="D7" t="str">
        <v>Appliances</v>
      </c>
      <c r="E7">
        <v>3</v>
      </c>
      <c r="F7" s="23">
        <v>59.99</v>
      </c>
      <c r="G7" t="str">
        <v>Cash</v>
      </c>
      <c r="H7" t="str">
        <v>West</v>
      </c>
      <c r="I7" t="str">
        <v>Premium</v>
      </c>
      <c r="J7" s="5">
        <v>45207</v>
      </c>
      <c r="K7" s="22">
        <v>179.97</v>
      </c>
    </row>
    <row r="8" spans="1:11" x14ac:dyDescent="0.35">
      <c r="A8" t="str">
        <v>Peter Richardson</v>
      </c>
      <c r="B8" t="str">
        <v>P008</v>
      </c>
      <c r="C8" t="str">
        <v>Bookshelf</v>
      </c>
      <c r="D8" t="str">
        <v>Furniture</v>
      </c>
      <c r="E8">
        <v>3</v>
      </c>
      <c r="F8" s="23">
        <v>149.99</v>
      </c>
      <c r="G8" t="str">
        <v>Cash</v>
      </c>
      <c r="H8" t="str">
        <v>North</v>
      </c>
      <c r="I8" t="str">
        <v>Premium</v>
      </c>
      <c r="J8" s="5">
        <v>44806</v>
      </c>
      <c r="K8" s="22">
        <v>449.97</v>
      </c>
    </row>
    <row r="9" spans="1:11" x14ac:dyDescent="0.35">
      <c r="A9" t="str">
        <v>Mark Carter</v>
      </c>
      <c r="B9" t="str">
        <v>P008</v>
      </c>
      <c r="C9" t="str">
        <v>Bookshelf</v>
      </c>
      <c r="D9" t="str">
        <v>Furniture</v>
      </c>
      <c r="E9">
        <v>4</v>
      </c>
      <c r="F9" s="23">
        <v>149.99</v>
      </c>
      <c r="G9" t="str">
        <v>Debit Card</v>
      </c>
      <c r="H9" t="str">
        <v>North</v>
      </c>
      <c r="I9" t="str">
        <v>Premium</v>
      </c>
      <c r="J9" s="5">
        <v>45374</v>
      </c>
      <c r="K9" s="22">
        <v>599.96</v>
      </c>
    </row>
    <row r="10" spans="1:11" x14ac:dyDescent="0.35">
      <c r="A10" t="str">
        <v>Virginia Sanders</v>
      </c>
      <c r="B10" t="str">
        <v>P009</v>
      </c>
      <c r="C10" t="str">
        <v>Monitor</v>
      </c>
      <c r="D10" t="str">
        <v>Electronics</v>
      </c>
      <c r="E10">
        <v>3</v>
      </c>
      <c r="F10" s="23">
        <v>249.99</v>
      </c>
      <c r="G10" t="str">
        <v>Credit Card</v>
      </c>
      <c r="H10" t="str">
        <v>North</v>
      </c>
      <c r="I10" t="str">
        <v>Premium</v>
      </c>
      <c r="J10" s="5">
        <v>45224</v>
      </c>
      <c r="K10" s="22">
        <v>749.97</v>
      </c>
    </row>
    <row r="11" spans="1:11" x14ac:dyDescent="0.35">
      <c r="A11" t="str">
        <v>Mark Carter</v>
      </c>
      <c r="B11" t="str">
        <v>P007</v>
      </c>
      <c r="C11" t="str">
        <v>Desk</v>
      </c>
      <c r="D11" t="str">
        <v>Furniture</v>
      </c>
      <c r="E11">
        <v>4</v>
      </c>
      <c r="F11" s="23">
        <v>299.99</v>
      </c>
      <c r="G11" t="str">
        <v>Cash</v>
      </c>
      <c r="H11" t="str">
        <v>West</v>
      </c>
      <c r="I11" t="str">
        <v>Premium</v>
      </c>
      <c r="J11" s="5">
        <v>44716</v>
      </c>
      <c r="K11" s="22">
        <v>1199.96</v>
      </c>
    </row>
    <row r="12" spans="1:11" x14ac:dyDescent="0.35">
      <c r="A12" t="str">
        <v>Linda Martin</v>
      </c>
      <c r="B12" t="str">
        <v>P004</v>
      </c>
      <c r="C12" t="str">
        <v>Coffee Maker</v>
      </c>
      <c r="D12" t="str">
        <v>Appliances</v>
      </c>
      <c r="E12">
        <v>3</v>
      </c>
      <c r="F12" s="23">
        <v>79.989999999999995</v>
      </c>
      <c r="G12" t="str">
        <v>PayPal</v>
      </c>
      <c r="H12" t="str">
        <v>East</v>
      </c>
      <c r="I12" t="str">
        <v>Premium</v>
      </c>
      <c r="J12" s="5">
        <v>45012</v>
      </c>
      <c r="K12" s="22">
        <v>239.96999999999997</v>
      </c>
    </row>
    <row r="13" spans="1:11" x14ac:dyDescent="0.35">
      <c r="A13" t="str">
        <v>Patricia Moore</v>
      </c>
      <c r="B13" t="str">
        <v>P010</v>
      </c>
      <c r="C13" t="str">
        <v>Keyboard</v>
      </c>
      <c r="D13" t="str">
        <v>Electronics</v>
      </c>
      <c r="E13">
        <v>5</v>
      </c>
      <c r="F13" s="23">
        <v>89.99</v>
      </c>
      <c r="G13" t="str">
        <v>Cash</v>
      </c>
      <c r="H13" t="str">
        <v>North</v>
      </c>
      <c r="I13" t="str">
        <v>Premium</v>
      </c>
      <c r="J13" s="5">
        <v>44919</v>
      </c>
      <c r="K13" s="22">
        <v>449.95</v>
      </c>
    </row>
    <row r="14" spans="1:11" x14ac:dyDescent="0.35">
      <c r="A14" t="str">
        <v>Emma Wilson</v>
      </c>
      <c r="B14" t="str">
        <v>P008</v>
      </c>
      <c r="C14" t="str">
        <v>Bookshelf</v>
      </c>
      <c r="D14" t="str">
        <v>Furniture</v>
      </c>
      <c r="E14">
        <v>3</v>
      </c>
      <c r="F14" s="23">
        <v>149.99</v>
      </c>
      <c r="G14" t="str">
        <v>Credit Card</v>
      </c>
      <c r="H14" t="str">
        <v>West</v>
      </c>
      <c r="I14" t="str">
        <v>Premium</v>
      </c>
      <c r="J14" s="5">
        <v>45068</v>
      </c>
      <c r="K14" s="22">
        <v>449.97</v>
      </c>
    </row>
    <row r="15" spans="1:11" x14ac:dyDescent="0.35">
      <c r="A15" t="str">
        <v>Kevin Scott</v>
      </c>
      <c r="B15" t="str">
        <v>P001</v>
      </c>
      <c r="C15" t="str">
        <v>Laptop</v>
      </c>
      <c r="D15" t="str">
        <v>Electronics</v>
      </c>
      <c r="E15">
        <v>1</v>
      </c>
      <c r="F15" s="23">
        <v>899.99</v>
      </c>
      <c r="G15" t="str">
        <v>Credit Card</v>
      </c>
      <c r="H15" t="str">
        <v>West</v>
      </c>
      <c r="I15" t="str">
        <v>Premium</v>
      </c>
      <c r="J15" s="5">
        <v>44578</v>
      </c>
      <c r="K15" s="22">
        <v>899.99</v>
      </c>
    </row>
    <row r="16" spans="1:11" x14ac:dyDescent="0.35">
      <c r="A16" t="str">
        <v>Steven Turner</v>
      </c>
      <c r="B16" t="str">
        <v>P006</v>
      </c>
      <c r="C16" t="str">
        <v>Office Chair</v>
      </c>
      <c r="D16" t="str">
        <v>Furniture</v>
      </c>
      <c r="E16">
        <v>3</v>
      </c>
      <c r="F16" s="23">
        <v>199.99</v>
      </c>
      <c r="G16" t="str">
        <v>Credit Card</v>
      </c>
      <c r="H16" t="str">
        <v>North</v>
      </c>
      <c r="I16" t="str">
        <v>Premium</v>
      </c>
      <c r="J16" s="5">
        <v>45292</v>
      </c>
      <c r="K16" s="22">
        <v>599.97</v>
      </c>
    </row>
    <row r="17" spans="1:11" x14ac:dyDescent="0.35">
      <c r="A17" t="str">
        <v>Harry Morgan</v>
      </c>
      <c r="B17" t="str">
        <v>P010</v>
      </c>
      <c r="C17" t="str">
        <v>Keyboard</v>
      </c>
      <c r="D17" t="str">
        <v>Electronics</v>
      </c>
      <c r="E17">
        <v>3</v>
      </c>
      <c r="F17" s="23">
        <v>89.99</v>
      </c>
      <c r="G17" t="str">
        <v>PayPal</v>
      </c>
      <c r="H17" t="str">
        <v>Central</v>
      </c>
      <c r="I17" t="str">
        <v>Premium</v>
      </c>
      <c r="J17" s="5">
        <v>45120</v>
      </c>
      <c r="K17" s="22">
        <v>269.96999999999997</v>
      </c>
    </row>
    <row r="18" spans="1:11" x14ac:dyDescent="0.35">
      <c r="A18" t="str">
        <v>Michael Brown</v>
      </c>
      <c r="B18" t="str">
        <v>P008</v>
      </c>
      <c r="C18" t="str">
        <v>Bookshelf</v>
      </c>
      <c r="D18" t="str">
        <v>Furniture</v>
      </c>
      <c r="E18">
        <v>2</v>
      </c>
      <c r="F18" s="23">
        <v>149.99</v>
      </c>
      <c r="G18" t="str">
        <v>Cash</v>
      </c>
      <c r="H18" t="str">
        <v>East</v>
      </c>
      <c r="I18" t="str">
        <v>Premium</v>
      </c>
      <c r="J18" s="5">
        <v>44645</v>
      </c>
      <c r="K18" s="22">
        <v>299.98</v>
      </c>
    </row>
    <row r="19" spans="1:11" x14ac:dyDescent="0.35">
      <c r="A19" t="str">
        <v>Lisa Anderson</v>
      </c>
      <c r="B19" t="str">
        <v>P010</v>
      </c>
      <c r="C19" t="str">
        <v>Keyboard</v>
      </c>
      <c r="D19" t="str">
        <v>Electronics</v>
      </c>
      <c r="E19">
        <v>5</v>
      </c>
      <c r="F19" s="23">
        <v>89.99</v>
      </c>
      <c r="G19" t="str">
        <v>Cash</v>
      </c>
      <c r="H19" t="str">
        <v>Central</v>
      </c>
      <c r="I19" t="str">
        <v>Premium</v>
      </c>
      <c r="J19" s="5">
        <v>44579</v>
      </c>
      <c r="K19" s="22">
        <v>449.95</v>
      </c>
    </row>
    <row r="20" spans="1:11" x14ac:dyDescent="0.35">
      <c r="A20" t="str">
        <v>Patricia Moore</v>
      </c>
      <c r="B20" t="str">
        <v>P010</v>
      </c>
      <c r="C20" t="str">
        <v>Keyboard</v>
      </c>
      <c r="D20" t="str">
        <v>Electronics</v>
      </c>
      <c r="E20">
        <v>2</v>
      </c>
      <c r="F20" s="23">
        <v>89.99</v>
      </c>
      <c r="G20" t="str">
        <v>Credit Card</v>
      </c>
      <c r="H20" t="str">
        <v>South</v>
      </c>
      <c r="I20" t="str">
        <v>Premium</v>
      </c>
      <c r="J20" s="5">
        <v>44471</v>
      </c>
      <c r="K20" s="22">
        <v>179.98</v>
      </c>
    </row>
    <row r="21" spans="1:11" x14ac:dyDescent="0.35">
      <c r="A21" t="str">
        <v>Edward Mitchell</v>
      </c>
      <c r="B21" t="str">
        <v>P001</v>
      </c>
      <c r="C21" t="str">
        <v>Laptop</v>
      </c>
      <c r="D21" t="str">
        <v>Electronics</v>
      </c>
      <c r="E21">
        <v>5</v>
      </c>
      <c r="F21" s="23">
        <v>899.99</v>
      </c>
      <c r="G21" t="str">
        <v>PayPal</v>
      </c>
      <c r="H21" t="str">
        <v>East</v>
      </c>
      <c r="I21" t="str">
        <v>Premium</v>
      </c>
      <c r="J21" s="5">
        <v>45278</v>
      </c>
      <c r="K21" s="22">
        <v>4499.95</v>
      </c>
    </row>
    <row r="22" spans="1:11" x14ac:dyDescent="0.35">
      <c r="A22" t="str">
        <v>Betty Campbell</v>
      </c>
      <c r="B22" t="str">
        <v>P005</v>
      </c>
      <c r="C22" t="str">
        <v>Blender</v>
      </c>
      <c r="D22" t="str">
        <v>Appliances</v>
      </c>
      <c r="E22">
        <v>1</v>
      </c>
      <c r="F22" s="23">
        <v>59.99</v>
      </c>
      <c r="G22" t="str">
        <v>Debit Card</v>
      </c>
      <c r="H22" t="str">
        <v>West</v>
      </c>
      <c r="I22" t="str">
        <v>Premium</v>
      </c>
      <c r="J22" s="5">
        <v>45190</v>
      </c>
      <c r="K22" s="22">
        <v>59.99</v>
      </c>
    </row>
    <row r="23" spans="1:11" x14ac:dyDescent="0.35">
      <c r="A23" t="str">
        <v>Kevin Scott</v>
      </c>
      <c r="B23" t="str">
        <v>P004</v>
      </c>
      <c r="C23" t="str">
        <v>Coffee Maker</v>
      </c>
      <c r="D23" t="str">
        <v>Appliances</v>
      </c>
      <c r="E23">
        <v>1</v>
      </c>
      <c r="F23" s="23">
        <v>79.989999999999995</v>
      </c>
      <c r="G23" t="str">
        <v>PayPal</v>
      </c>
      <c r="H23" t="str">
        <v>Central</v>
      </c>
      <c r="I23" t="str">
        <v>Premium</v>
      </c>
      <c r="J23" s="5">
        <v>45352</v>
      </c>
      <c r="K23" s="22">
        <v>79.989999999999995</v>
      </c>
    </row>
    <row r="24" spans="1:11" x14ac:dyDescent="0.35">
      <c r="A24" t="str">
        <v>Kathleen Bennett</v>
      </c>
      <c r="B24" t="str">
        <v>P002</v>
      </c>
      <c r="C24" t="str">
        <v>Smartphone</v>
      </c>
      <c r="D24" t="str">
        <v>Electronics</v>
      </c>
      <c r="E24">
        <v>3</v>
      </c>
      <c r="F24" s="23">
        <v>699.99</v>
      </c>
      <c r="G24" t="str">
        <v>Credit Card</v>
      </c>
      <c r="H24" t="str">
        <v>East</v>
      </c>
      <c r="I24" t="str">
        <v>Premium</v>
      </c>
      <c r="J24" s="5">
        <v>45102</v>
      </c>
      <c r="K24" s="22">
        <v>2099.9700000000003</v>
      </c>
    </row>
    <row r="25" spans="1:11" x14ac:dyDescent="0.35">
      <c r="A25" t="str">
        <v>Patricia Moore</v>
      </c>
      <c r="B25" t="str">
        <v>P001</v>
      </c>
      <c r="C25" t="str">
        <v>Laptop</v>
      </c>
      <c r="D25" t="str">
        <v>Electronics</v>
      </c>
      <c r="E25">
        <v>4</v>
      </c>
      <c r="F25" s="23">
        <v>899.99</v>
      </c>
      <c r="G25" t="str">
        <v>Credit Card</v>
      </c>
      <c r="H25" t="str">
        <v>East</v>
      </c>
      <c r="I25" t="str">
        <v>Premium</v>
      </c>
      <c r="J25" s="5">
        <v>44993</v>
      </c>
      <c r="K25" s="22">
        <v>3599.96</v>
      </c>
    </row>
    <row r="26" spans="1:11" x14ac:dyDescent="0.35">
      <c r="A26" t="str">
        <v>Emma Wilson</v>
      </c>
      <c r="B26" t="str">
        <v>P010</v>
      </c>
      <c r="C26" t="str">
        <v>Keyboard</v>
      </c>
      <c r="D26" t="str">
        <v>Electronics</v>
      </c>
      <c r="E26">
        <v>2</v>
      </c>
      <c r="F26" s="23">
        <v>89.99</v>
      </c>
      <c r="G26" t="str">
        <v>PayPal</v>
      </c>
      <c r="H26" t="str">
        <v>Central</v>
      </c>
      <c r="I26" t="str">
        <v>Premium</v>
      </c>
      <c r="J26" s="5">
        <v>45275</v>
      </c>
      <c r="K26" s="22">
        <v>179.98</v>
      </c>
    </row>
    <row r="27" spans="1:11" x14ac:dyDescent="0.35">
      <c r="A27" t="str">
        <v>Michael Brown</v>
      </c>
      <c r="B27" t="str">
        <v>P002</v>
      </c>
      <c r="C27" t="str">
        <v>Smartphone</v>
      </c>
      <c r="D27" t="str">
        <v>Electronics</v>
      </c>
      <c r="E27">
        <v>2</v>
      </c>
      <c r="F27" s="23">
        <v>699.99</v>
      </c>
      <c r="G27" t="str">
        <v>PayPal</v>
      </c>
      <c r="H27" t="str">
        <v>East</v>
      </c>
      <c r="I27" t="str">
        <v>Premium</v>
      </c>
      <c r="J27" s="5">
        <v>45389</v>
      </c>
      <c r="K27" s="22">
        <v>1399.98</v>
      </c>
    </row>
    <row r="28" spans="1:11" x14ac:dyDescent="0.35">
      <c r="A28" t="str">
        <v>Barbara Young</v>
      </c>
      <c r="B28" t="str">
        <v>P010</v>
      </c>
      <c r="C28" t="str">
        <v>Keyboard</v>
      </c>
      <c r="D28" t="str">
        <v>Electronics</v>
      </c>
      <c r="E28">
        <v>5</v>
      </c>
      <c r="F28" s="23">
        <v>89.99</v>
      </c>
      <c r="G28" t="str">
        <v>Debit Card</v>
      </c>
      <c r="H28" t="str">
        <v>North</v>
      </c>
      <c r="I28" t="str">
        <v>Premium</v>
      </c>
      <c r="J28" s="5">
        <v>45161</v>
      </c>
      <c r="K28" s="22">
        <v>449.95</v>
      </c>
    </row>
    <row r="29" spans="1:11" x14ac:dyDescent="0.35">
      <c r="A29" t="str">
        <v>Frank Torres</v>
      </c>
      <c r="B29" t="str">
        <v>P007</v>
      </c>
      <c r="C29" t="str">
        <v>Desk</v>
      </c>
      <c r="D29" t="str">
        <v>Furniture</v>
      </c>
      <c r="E29">
        <v>1</v>
      </c>
      <c r="F29" s="23">
        <v>299.99</v>
      </c>
      <c r="G29" t="str">
        <v>Credit Card</v>
      </c>
      <c r="H29" t="str">
        <v>North</v>
      </c>
      <c r="I29" t="str">
        <v>Premium</v>
      </c>
      <c r="J29" s="5">
        <v>44891</v>
      </c>
      <c r="K29" s="22">
        <v>299.99</v>
      </c>
    </row>
    <row r="30" spans="1:11" x14ac:dyDescent="0.35">
      <c r="A30" t="str">
        <v>Peter Richardson</v>
      </c>
      <c r="B30" t="str">
        <v>P008</v>
      </c>
      <c r="C30" t="str">
        <v>Bookshelf</v>
      </c>
      <c r="D30" t="str">
        <v>Furniture</v>
      </c>
      <c r="E30">
        <v>3</v>
      </c>
      <c r="F30" s="23">
        <v>149.99</v>
      </c>
      <c r="G30" t="str">
        <v>Cash</v>
      </c>
      <c r="H30" t="str">
        <v>Central</v>
      </c>
      <c r="I30" t="str">
        <v>Premium</v>
      </c>
      <c r="J30" s="5">
        <v>45199</v>
      </c>
      <c r="K30" s="22">
        <v>449.97</v>
      </c>
    </row>
    <row r="31" spans="1:11" x14ac:dyDescent="0.35">
      <c r="A31" t="str">
        <v>Karen Hill</v>
      </c>
      <c r="B31" t="str">
        <v>P006</v>
      </c>
      <c r="C31" t="str">
        <v>Office Chair</v>
      </c>
      <c r="D31" t="str">
        <v>Furniture</v>
      </c>
      <c r="E31">
        <v>3</v>
      </c>
      <c r="F31" s="23">
        <v>199.99</v>
      </c>
      <c r="G31" t="str">
        <v>Cash</v>
      </c>
      <c r="H31" t="str">
        <v>North</v>
      </c>
      <c r="I31" t="str">
        <v>Premium</v>
      </c>
      <c r="J31" s="5">
        <v>45254</v>
      </c>
      <c r="K31" s="22">
        <v>599.97</v>
      </c>
    </row>
    <row r="32" spans="1:11" x14ac:dyDescent="0.35">
      <c r="A32" t="str">
        <v>Barbara Young</v>
      </c>
      <c r="B32" t="str">
        <v>P009</v>
      </c>
      <c r="C32" t="str">
        <v>Monitor</v>
      </c>
      <c r="D32" t="str">
        <v>Electronics</v>
      </c>
      <c r="E32">
        <v>2</v>
      </c>
      <c r="F32" s="23">
        <v>249.99</v>
      </c>
      <c r="G32" t="str">
        <v>Cash</v>
      </c>
      <c r="H32" t="str">
        <v>North</v>
      </c>
      <c r="I32" t="str">
        <v>Premium</v>
      </c>
      <c r="J32" s="5">
        <v>45164</v>
      </c>
      <c r="K32" s="22">
        <v>499.98</v>
      </c>
    </row>
    <row r="33" spans="1:11" x14ac:dyDescent="0.35">
      <c r="A33" t="str">
        <v>Mark Carter</v>
      </c>
      <c r="B33" t="str">
        <v>P002</v>
      </c>
      <c r="C33" t="str">
        <v>Smartphone</v>
      </c>
      <c r="D33" t="str">
        <v>Electronics</v>
      </c>
      <c r="E33">
        <v>2</v>
      </c>
      <c r="F33" s="23">
        <v>699.99</v>
      </c>
      <c r="G33" t="str">
        <v>Credit Card</v>
      </c>
      <c r="H33" t="str">
        <v>North</v>
      </c>
      <c r="I33" t="str">
        <v>Premium</v>
      </c>
      <c r="J33" s="5">
        <v>44999</v>
      </c>
      <c r="K33" s="22">
        <v>1399.98</v>
      </c>
    </row>
    <row r="34" spans="1:11" x14ac:dyDescent="0.35">
      <c r="A34" t="str">
        <v>David Martinez</v>
      </c>
      <c r="B34" t="str">
        <v>P003</v>
      </c>
      <c r="C34" t="str">
        <v>Headphones</v>
      </c>
      <c r="D34" t="str">
        <v>Electronics</v>
      </c>
      <c r="E34">
        <v>4</v>
      </c>
      <c r="F34" s="23">
        <v>149.99</v>
      </c>
      <c r="G34" t="str">
        <v>Debit Card</v>
      </c>
      <c r="H34" t="str">
        <v>South</v>
      </c>
      <c r="I34" t="str">
        <v>Premium</v>
      </c>
      <c r="J34" s="5">
        <v>44820</v>
      </c>
      <c r="K34" s="22">
        <v>599.96</v>
      </c>
    </row>
    <row r="35" spans="1:11" x14ac:dyDescent="0.35">
      <c r="A35" t="str">
        <v>Margaret Wright</v>
      </c>
      <c r="B35" t="str">
        <v>P009</v>
      </c>
      <c r="C35" t="str">
        <v>Monitor</v>
      </c>
      <c r="D35" t="str">
        <v>Electronics</v>
      </c>
      <c r="E35">
        <v>5</v>
      </c>
      <c r="F35" s="23">
        <v>249.99</v>
      </c>
      <c r="G35" t="str">
        <v>PayPal</v>
      </c>
      <c r="H35" t="str">
        <v>East</v>
      </c>
      <c r="I35" t="str">
        <v>Premium</v>
      </c>
      <c r="J35" s="5">
        <v>44782</v>
      </c>
      <c r="K35" s="22">
        <v>1249.95</v>
      </c>
    </row>
    <row r="36" spans="1:11" x14ac:dyDescent="0.35">
      <c r="A36" t="str">
        <v>Karen Hill</v>
      </c>
      <c r="B36" t="str">
        <v>P009</v>
      </c>
      <c r="C36" t="str">
        <v>Monitor</v>
      </c>
      <c r="D36" t="str">
        <v>Electronics</v>
      </c>
      <c r="E36">
        <v>3</v>
      </c>
      <c r="F36" s="23">
        <v>249.99</v>
      </c>
      <c r="G36" t="str">
        <v>PayPal</v>
      </c>
      <c r="H36" t="str">
        <v>North</v>
      </c>
      <c r="I36" t="str">
        <v>Premium</v>
      </c>
      <c r="J36" s="5">
        <v>44465</v>
      </c>
      <c r="K36" s="22">
        <v>749.97</v>
      </c>
    </row>
    <row r="37" spans="1:11" x14ac:dyDescent="0.35">
      <c r="A37" t="str">
        <v>Betty Campbell</v>
      </c>
      <c r="B37" t="str">
        <v>P006</v>
      </c>
      <c r="C37" t="str">
        <v>Office Chair</v>
      </c>
      <c r="D37" t="str">
        <v>Furniture</v>
      </c>
      <c r="E37">
        <v>5</v>
      </c>
      <c r="F37" s="23">
        <v>199.99</v>
      </c>
      <c r="G37" t="str">
        <v>Cash</v>
      </c>
      <c r="H37" t="str">
        <v>North</v>
      </c>
      <c r="I37" t="str">
        <v>Premium</v>
      </c>
      <c r="J37" s="5">
        <v>44991</v>
      </c>
      <c r="K37" s="22">
        <v>999.95</v>
      </c>
    </row>
    <row r="38" spans="1:11" x14ac:dyDescent="0.35">
      <c r="A38" t="str">
        <v>Mark Carter</v>
      </c>
      <c r="B38" t="str">
        <v>P010</v>
      </c>
      <c r="C38" t="str">
        <v>Keyboard</v>
      </c>
      <c r="D38" t="str">
        <v>Electronics</v>
      </c>
      <c r="E38">
        <v>2</v>
      </c>
      <c r="F38" s="23">
        <v>89.99</v>
      </c>
      <c r="G38" t="str">
        <v>Cash</v>
      </c>
      <c r="H38" t="str">
        <v>East</v>
      </c>
      <c r="I38" t="str">
        <v>Premium</v>
      </c>
      <c r="J38" s="5">
        <v>44972</v>
      </c>
      <c r="K38" s="22">
        <v>179.98</v>
      </c>
    </row>
    <row r="39" spans="1:11" x14ac:dyDescent="0.35">
      <c r="A39" t="str">
        <v>Lawrence Reed</v>
      </c>
      <c r="B39" t="str">
        <v>P004</v>
      </c>
      <c r="C39" t="str">
        <v>Coffee Maker</v>
      </c>
      <c r="D39" t="str">
        <v>Appliances</v>
      </c>
      <c r="E39">
        <v>3</v>
      </c>
      <c r="F39" s="23">
        <v>79.989999999999995</v>
      </c>
      <c r="G39" t="str">
        <v>Cash</v>
      </c>
      <c r="H39" t="str">
        <v>Central</v>
      </c>
      <c r="I39" t="str">
        <v>Premium</v>
      </c>
      <c r="J39" s="5">
        <v>44779</v>
      </c>
      <c r="K39" s="22">
        <v>239.96999999999997</v>
      </c>
    </row>
    <row r="40" spans="1:11" x14ac:dyDescent="0.35">
      <c r="A40" t="str">
        <v>Gerald Murphy</v>
      </c>
      <c r="B40" t="str">
        <v>P002</v>
      </c>
      <c r="C40" t="str">
        <v>Smartphone</v>
      </c>
      <c r="D40" t="str">
        <v>Electronics</v>
      </c>
      <c r="E40">
        <v>1</v>
      </c>
      <c r="F40" s="23">
        <v>699.99</v>
      </c>
      <c r="G40" t="str">
        <v>Cash</v>
      </c>
      <c r="H40" t="str">
        <v>Central</v>
      </c>
      <c r="I40" t="str">
        <v>Premium</v>
      </c>
      <c r="J40" s="5">
        <v>44497</v>
      </c>
      <c r="K40" s="22">
        <v>699.99</v>
      </c>
    </row>
    <row r="41" spans="1:11" x14ac:dyDescent="0.35">
      <c r="A41" t="str">
        <v>Carol Evans</v>
      </c>
      <c r="B41" t="str">
        <v>P003</v>
      </c>
      <c r="C41" t="str">
        <v>Headphones</v>
      </c>
      <c r="D41" t="str">
        <v>Electronics</v>
      </c>
      <c r="E41">
        <v>3</v>
      </c>
      <c r="F41" s="23">
        <v>149.99</v>
      </c>
      <c r="G41" t="str">
        <v>Cash</v>
      </c>
      <c r="H41" t="str">
        <v>West</v>
      </c>
      <c r="I41" t="str">
        <v>Premium</v>
      </c>
      <c r="J41" s="5">
        <v>45212</v>
      </c>
      <c r="K41" s="22">
        <v>449.97</v>
      </c>
    </row>
    <row r="42" spans="1:11" x14ac:dyDescent="0.35">
      <c r="A42" t="str">
        <v>Sandra Phillips</v>
      </c>
      <c r="B42" t="str">
        <v>P002</v>
      </c>
      <c r="C42" t="str">
        <v>Smartphone</v>
      </c>
      <c r="D42" t="str">
        <v>Electronics</v>
      </c>
      <c r="E42">
        <v>2</v>
      </c>
      <c r="F42" s="23">
        <v>699.99</v>
      </c>
      <c r="G42" t="str">
        <v>Credit Card</v>
      </c>
      <c r="H42" t="str">
        <v>North</v>
      </c>
      <c r="I42" t="str">
        <v>Premium</v>
      </c>
      <c r="J42" s="5">
        <v>44421</v>
      </c>
      <c r="K42" s="22">
        <v>1399.98</v>
      </c>
    </row>
    <row r="43" spans="1:11" x14ac:dyDescent="0.35">
      <c r="A43" t="str">
        <v>Carol Evans</v>
      </c>
      <c r="B43" t="str">
        <v>P009</v>
      </c>
      <c r="C43" t="str">
        <v>Monitor</v>
      </c>
      <c r="D43" t="str">
        <v>Electronics</v>
      </c>
      <c r="E43">
        <v>1</v>
      </c>
      <c r="F43" s="23">
        <v>249.99</v>
      </c>
      <c r="G43" t="str">
        <v>Credit Card</v>
      </c>
      <c r="H43" t="str">
        <v>West</v>
      </c>
      <c r="I43" t="str">
        <v>Premium</v>
      </c>
      <c r="J43" s="5">
        <v>44685</v>
      </c>
      <c r="K43" s="22">
        <v>249.99</v>
      </c>
    </row>
    <row r="44" spans="1:11" x14ac:dyDescent="0.35">
      <c r="A44" t="str">
        <v>Paul Baker</v>
      </c>
      <c r="B44" t="str">
        <v>P009</v>
      </c>
      <c r="C44" t="str">
        <v>Monitor</v>
      </c>
      <c r="D44" t="str">
        <v>Electronics</v>
      </c>
      <c r="E44">
        <v>1</v>
      </c>
      <c r="F44" s="23">
        <v>249.99</v>
      </c>
      <c r="G44" t="str">
        <v>Debit Card</v>
      </c>
      <c r="H44" t="str">
        <v>North</v>
      </c>
      <c r="I44" t="str">
        <v>Premium</v>
      </c>
      <c r="J44" s="5">
        <v>45332</v>
      </c>
      <c r="K44" s="22">
        <v>249.99</v>
      </c>
    </row>
    <row r="45" spans="1:11" x14ac:dyDescent="0.35">
      <c r="A45" t="str">
        <v>Lawrence Reed</v>
      </c>
      <c r="B45" t="str">
        <v>P002</v>
      </c>
      <c r="C45" t="str">
        <v>Smartphone</v>
      </c>
      <c r="D45" t="str">
        <v>Electronics</v>
      </c>
      <c r="E45">
        <v>2</v>
      </c>
      <c r="F45" s="23">
        <v>699.99</v>
      </c>
      <c r="G45" t="str">
        <v>Debit Card</v>
      </c>
      <c r="H45" t="str">
        <v>Central</v>
      </c>
      <c r="I45" t="str">
        <v>Premium</v>
      </c>
      <c r="J45" s="5">
        <v>44870</v>
      </c>
      <c r="K45" s="22">
        <v>1399.98</v>
      </c>
    </row>
    <row r="46" spans="1:11" x14ac:dyDescent="0.35">
      <c r="A46" t="str">
        <v>Steven Turner</v>
      </c>
      <c r="B46" t="str">
        <v>P005</v>
      </c>
      <c r="C46" t="str">
        <v>Blender</v>
      </c>
      <c r="D46" t="str">
        <v>Appliances</v>
      </c>
      <c r="E46">
        <v>3</v>
      </c>
      <c r="F46" s="23">
        <v>59.99</v>
      </c>
      <c r="G46" t="str">
        <v>Credit Card</v>
      </c>
      <c r="H46" t="str">
        <v>Central</v>
      </c>
      <c r="I46" t="str">
        <v>Premium</v>
      </c>
      <c r="J46" s="5">
        <v>44717</v>
      </c>
      <c r="K46" s="22">
        <v>179.97</v>
      </c>
    </row>
    <row r="47" spans="1:11" x14ac:dyDescent="0.35">
      <c r="A47" t="str">
        <v>Dorothy Nelson</v>
      </c>
      <c r="B47" t="str">
        <v>P007</v>
      </c>
      <c r="C47" t="str">
        <v>Desk</v>
      </c>
      <c r="D47" t="str">
        <v>Furniture</v>
      </c>
      <c r="E47">
        <v>3</v>
      </c>
      <c r="F47" s="23">
        <v>299.99</v>
      </c>
      <c r="G47" t="str">
        <v>Credit Card</v>
      </c>
      <c r="H47" t="str">
        <v>Central</v>
      </c>
      <c r="I47" t="str">
        <v>Premium</v>
      </c>
      <c r="J47" s="5">
        <v>44494</v>
      </c>
      <c r="K47" s="22">
        <v>899.97</v>
      </c>
    </row>
    <row r="48" spans="1:11" x14ac:dyDescent="0.35">
      <c r="A48" t="str">
        <v>Kathleen Bennett</v>
      </c>
      <c r="B48" t="str">
        <v>P010</v>
      </c>
      <c r="C48" t="str">
        <v>Keyboard</v>
      </c>
      <c r="D48" t="str">
        <v>Electronics</v>
      </c>
      <c r="E48">
        <v>2</v>
      </c>
      <c r="F48" s="23">
        <v>89.99</v>
      </c>
      <c r="G48" t="str">
        <v>Credit Card</v>
      </c>
      <c r="H48" t="str">
        <v>South</v>
      </c>
      <c r="I48" t="str">
        <v>Premium</v>
      </c>
      <c r="J48" s="5">
        <v>44641</v>
      </c>
      <c r="K48" s="22">
        <v>179.98</v>
      </c>
    </row>
    <row r="49" spans="1:11" x14ac:dyDescent="0.35">
      <c r="A49" t="str">
        <v>Daniel King</v>
      </c>
      <c r="B49" t="str">
        <v>P010</v>
      </c>
      <c r="C49" t="str">
        <v>Keyboard</v>
      </c>
      <c r="D49" t="str">
        <v>Electronics</v>
      </c>
      <c r="E49">
        <v>5</v>
      </c>
      <c r="F49" s="23">
        <v>89.99</v>
      </c>
      <c r="G49" t="str">
        <v>Credit Card</v>
      </c>
      <c r="H49" t="str">
        <v>East</v>
      </c>
      <c r="I49" t="str">
        <v>Premium</v>
      </c>
      <c r="J49" s="5">
        <v>44446</v>
      </c>
      <c r="K49" s="22">
        <v>449.95</v>
      </c>
    </row>
    <row r="50" spans="1:11" x14ac:dyDescent="0.35">
      <c r="A50" t="str">
        <v>Michael Brown</v>
      </c>
      <c r="B50" t="str">
        <v>P007</v>
      </c>
      <c r="C50" t="str">
        <v>Desk</v>
      </c>
      <c r="D50" t="str">
        <v>Furniture</v>
      </c>
      <c r="E50">
        <v>4</v>
      </c>
      <c r="F50" s="23">
        <v>299.99</v>
      </c>
      <c r="G50" t="str">
        <v>Cash</v>
      </c>
      <c r="H50" t="str">
        <v>Central</v>
      </c>
      <c r="I50" t="str">
        <v>Premium</v>
      </c>
      <c r="J50" s="5">
        <v>44460</v>
      </c>
      <c r="K50" s="22">
        <v>1199.96</v>
      </c>
    </row>
    <row r="51" spans="1:11" x14ac:dyDescent="0.35">
      <c r="A51" t="str">
        <v>Sandra Phillips</v>
      </c>
      <c r="B51" t="str">
        <v>P003</v>
      </c>
      <c r="C51" t="str">
        <v>Headphones</v>
      </c>
      <c r="D51" t="str">
        <v>Electronics</v>
      </c>
      <c r="E51">
        <v>4</v>
      </c>
      <c r="F51" s="23">
        <v>149.99</v>
      </c>
      <c r="G51" t="str">
        <v>Credit Card</v>
      </c>
      <c r="H51" t="str">
        <v>North</v>
      </c>
      <c r="I51" t="str">
        <v>Premium</v>
      </c>
      <c r="J51" s="5">
        <v>45076</v>
      </c>
      <c r="K51" s="22">
        <v>599.96</v>
      </c>
    </row>
    <row r="52" spans="1:11" x14ac:dyDescent="0.35">
      <c r="A52" t="str">
        <v>Elizabeth Hall</v>
      </c>
      <c r="B52" t="str">
        <v>P002</v>
      </c>
      <c r="C52" t="str">
        <v>Smartphone</v>
      </c>
      <c r="D52" t="str">
        <v>Electronics</v>
      </c>
      <c r="E52">
        <v>2</v>
      </c>
      <c r="F52" s="23">
        <v>699.99</v>
      </c>
      <c r="G52" t="str">
        <v>Debit Card</v>
      </c>
      <c r="H52" t="str">
        <v>East</v>
      </c>
      <c r="I52" t="str">
        <v>Premium</v>
      </c>
      <c r="J52" s="5">
        <v>45274</v>
      </c>
      <c r="K52" s="22">
        <v>1399.98</v>
      </c>
    </row>
    <row r="53" spans="1:11" x14ac:dyDescent="0.35">
      <c r="A53" t="str">
        <v>Betty Campbell</v>
      </c>
      <c r="B53" t="str">
        <v>P002</v>
      </c>
      <c r="C53" t="str">
        <v>Smartphone</v>
      </c>
      <c r="D53" t="str">
        <v>Electronics</v>
      </c>
      <c r="E53">
        <v>5</v>
      </c>
      <c r="F53" s="23">
        <v>699.99</v>
      </c>
      <c r="G53" t="str">
        <v>Cash</v>
      </c>
      <c r="H53" t="str">
        <v>North</v>
      </c>
      <c r="I53" t="str">
        <v>Premium</v>
      </c>
      <c r="J53" s="5">
        <v>44635</v>
      </c>
      <c r="K53" s="22">
        <v>3499.95</v>
      </c>
    </row>
    <row r="54" spans="1:11" x14ac:dyDescent="0.35">
      <c r="A54" t="str">
        <v>Patricia Moore</v>
      </c>
      <c r="B54" t="str">
        <v>P010</v>
      </c>
      <c r="C54" t="str">
        <v>Keyboard</v>
      </c>
      <c r="D54" t="str">
        <v>Electronics</v>
      </c>
      <c r="E54">
        <v>3</v>
      </c>
      <c r="F54" s="23">
        <v>89.99</v>
      </c>
      <c r="G54" t="str">
        <v>Credit Card</v>
      </c>
      <c r="H54" t="str">
        <v>North</v>
      </c>
      <c r="I54" t="str">
        <v>Premium</v>
      </c>
      <c r="J54" s="5">
        <v>44420</v>
      </c>
      <c r="K54" s="22">
        <v>269.96999999999997</v>
      </c>
    </row>
    <row r="55" spans="1:11" x14ac:dyDescent="0.35">
      <c r="A55" t="str">
        <v>Maria Garcia</v>
      </c>
      <c r="B55" t="str">
        <v>P008</v>
      </c>
      <c r="C55" t="str">
        <v>Bookshelf</v>
      </c>
      <c r="D55" t="str">
        <v>Furniture</v>
      </c>
      <c r="E55">
        <v>2</v>
      </c>
      <c r="F55" s="23">
        <v>149.99</v>
      </c>
      <c r="G55" t="str">
        <v>Credit Card</v>
      </c>
      <c r="H55" t="str">
        <v>West</v>
      </c>
      <c r="I55" t="str">
        <v>Premium</v>
      </c>
      <c r="J55" s="5">
        <v>44848</v>
      </c>
      <c r="K55" s="22">
        <v>299.98</v>
      </c>
    </row>
    <row r="56" spans="1:11" x14ac:dyDescent="0.35">
      <c r="A56" t="str">
        <v>Margaret Wright</v>
      </c>
      <c r="B56" t="str">
        <v>P009</v>
      </c>
      <c r="C56" t="str">
        <v>Monitor</v>
      </c>
      <c r="D56" t="str">
        <v>Electronics</v>
      </c>
      <c r="E56">
        <v>1</v>
      </c>
      <c r="F56" s="23">
        <v>249.99</v>
      </c>
      <c r="G56" t="str">
        <v>Credit Card</v>
      </c>
      <c r="H56" t="str">
        <v>North</v>
      </c>
      <c r="I56" t="str">
        <v>Premium</v>
      </c>
      <c r="J56" s="5">
        <v>44828</v>
      </c>
      <c r="K56" s="22">
        <v>249.99</v>
      </c>
    </row>
    <row r="57" spans="1:11" x14ac:dyDescent="0.35">
      <c r="A57" t="str">
        <v>Paul Baker</v>
      </c>
      <c r="B57" t="str">
        <v>P005</v>
      </c>
      <c r="C57" t="str">
        <v>Blender</v>
      </c>
      <c r="D57" t="str">
        <v>Appliances</v>
      </c>
      <c r="E57">
        <v>5</v>
      </c>
      <c r="F57" s="23">
        <v>59.99</v>
      </c>
      <c r="G57" t="str">
        <v>PayPal</v>
      </c>
      <c r="H57" t="str">
        <v>West</v>
      </c>
      <c r="I57" t="str">
        <v>Premium</v>
      </c>
      <c r="J57" s="5">
        <v>44694</v>
      </c>
      <c r="K57" s="22">
        <v>299.95</v>
      </c>
    </row>
    <row r="58" spans="1:11" x14ac:dyDescent="0.35">
      <c r="A58" t="str">
        <v>Edward Mitchell</v>
      </c>
      <c r="B58" t="str">
        <v>P006</v>
      </c>
      <c r="C58" t="str">
        <v>Office Chair</v>
      </c>
      <c r="D58" t="str">
        <v>Furniture</v>
      </c>
      <c r="E58">
        <v>4</v>
      </c>
      <c r="F58" s="23">
        <v>199.99</v>
      </c>
      <c r="G58" t="str">
        <v>Debit Card</v>
      </c>
      <c r="H58" t="str">
        <v>Central</v>
      </c>
      <c r="I58" t="str">
        <v>Premium</v>
      </c>
      <c r="J58" s="5">
        <v>44427</v>
      </c>
      <c r="K58" s="22">
        <v>799.96</v>
      </c>
    </row>
    <row r="59" spans="1:11" x14ac:dyDescent="0.35">
      <c r="A59" t="str">
        <v>Kevin Scott</v>
      </c>
      <c r="B59" t="str">
        <v>P007</v>
      </c>
      <c r="C59" t="str">
        <v>Desk</v>
      </c>
      <c r="D59" t="str">
        <v>Furniture</v>
      </c>
      <c r="E59">
        <v>3</v>
      </c>
      <c r="F59" s="23">
        <v>299.99</v>
      </c>
      <c r="G59" t="str">
        <v>Cash</v>
      </c>
      <c r="H59" t="str">
        <v>South</v>
      </c>
      <c r="I59" t="str">
        <v>Premium</v>
      </c>
      <c r="J59" s="5">
        <v>44659</v>
      </c>
      <c r="K59" s="22">
        <v>899.97</v>
      </c>
    </row>
    <row r="60" spans="1:11" x14ac:dyDescent="0.35">
      <c r="A60" t="str">
        <v>Charles Allen</v>
      </c>
      <c r="B60" t="str">
        <v>P009</v>
      </c>
      <c r="C60" t="str">
        <v>Monitor</v>
      </c>
      <c r="D60" t="str">
        <v>Electronics</v>
      </c>
      <c r="E60">
        <v>5</v>
      </c>
      <c r="F60" s="23">
        <v>249.99</v>
      </c>
      <c r="G60" t="str">
        <v>Cash</v>
      </c>
      <c r="H60" t="str">
        <v>Central</v>
      </c>
      <c r="I60" t="str">
        <v>Premium</v>
      </c>
      <c r="J60" s="5">
        <v>44485</v>
      </c>
      <c r="K60" s="22">
        <v>1249.95</v>
      </c>
    </row>
    <row r="61" spans="1:11" x14ac:dyDescent="0.35">
      <c r="A61" t="str">
        <v>Joseph Jackson</v>
      </c>
      <c r="B61" t="str">
        <v>P003</v>
      </c>
      <c r="C61" t="str">
        <v>Headphones</v>
      </c>
      <c r="D61" t="str">
        <v>Electronics</v>
      </c>
      <c r="E61">
        <v>2</v>
      </c>
      <c r="F61" s="23">
        <v>149.99</v>
      </c>
      <c r="G61" t="str">
        <v>Cash</v>
      </c>
      <c r="H61" t="str">
        <v>South</v>
      </c>
      <c r="I61" t="str">
        <v>Premium</v>
      </c>
      <c r="J61" s="5">
        <v>44475</v>
      </c>
      <c r="K61" s="22">
        <v>299.98</v>
      </c>
    </row>
    <row r="62" spans="1:11" x14ac:dyDescent="0.35">
      <c r="A62" t="str">
        <v>William White</v>
      </c>
      <c r="B62" t="str">
        <v>P009</v>
      </c>
      <c r="C62" t="str">
        <v>Monitor</v>
      </c>
      <c r="D62" t="str">
        <v>Electronics</v>
      </c>
      <c r="E62">
        <v>4</v>
      </c>
      <c r="F62" s="23">
        <v>249.99</v>
      </c>
      <c r="G62" t="str">
        <v>PayPal</v>
      </c>
      <c r="H62" t="str">
        <v>East</v>
      </c>
      <c r="I62" t="str">
        <v>Premium</v>
      </c>
      <c r="J62" s="5">
        <v>45098</v>
      </c>
      <c r="K62" s="22">
        <v>999.96</v>
      </c>
    </row>
    <row r="63" spans="1:11" x14ac:dyDescent="0.35">
      <c r="A63" t="str">
        <v>Dorothy Nelson</v>
      </c>
      <c r="B63" t="str">
        <v>P002</v>
      </c>
      <c r="C63" t="str">
        <v>Smartphone</v>
      </c>
      <c r="D63" t="str">
        <v>Electronics</v>
      </c>
      <c r="E63">
        <v>4</v>
      </c>
      <c r="F63" s="23">
        <v>699.99</v>
      </c>
      <c r="G63" t="str">
        <v>Credit Card</v>
      </c>
      <c r="H63" t="str">
        <v>North</v>
      </c>
      <c r="I63" t="str">
        <v>Premium</v>
      </c>
      <c r="J63" s="5">
        <v>44703</v>
      </c>
      <c r="K63" s="22">
        <v>2799.96</v>
      </c>
    </row>
    <row r="64" spans="1:11" x14ac:dyDescent="0.35">
      <c r="A64" t="str">
        <v>Nancy Collins</v>
      </c>
      <c r="B64" t="str">
        <v>P009</v>
      </c>
      <c r="C64" t="str">
        <v>Monitor</v>
      </c>
      <c r="D64" t="str">
        <v>Electronics</v>
      </c>
      <c r="E64">
        <v>2</v>
      </c>
      <c r="F64" s="23">
        <v>249.99</v>
      </c>
      <c r="G64" t="str">
        <v>Credit Card</v>
      </c>
      <c r="H64" t="str">
        <v>Central</v>
      </c>
      <c r="I64" t="str">
        <v>Premium</v>
      </c>
      <c r="J64" s="5">
        <v>44396</v>
      </c>
      <c r="K64" s="22">
        <v>499.98</v>
      </c>
    </row>
    <row r="65" spans="1:11" x14ac:dyDescent="0.35">
      <c r="A65" t="str">
        <v>James Johnson</v>
      </c>
      <c r="B65" t="str">
        <v>P005</v>
      </c>
      <c r="C65" t="str">
        <v>Blender</v>
      </c>
      <c r="D65" t="str">
        <v>Appliances</v>
      </c>
      <c r="E65">
        <v>3</v>
      </c>
      <c r="F65" s="23">
        <v>59.99</v>
      </c>
      <c r="G65" t="str">
        <v>Cash</v>
      </c>
      <c r="H65" t="str">
        <v>Central</v>
      </c>
      <c r="I65" t="str">
        <v>Premium</v>
      </c>
      <c r="J65" s="5">
        <v>45052</v>
      </c>
      <c r="K65" s="22">
        <v>179.97</v>
      </c>
    </row>
    <row r="66" spans="1:11" x14ac:dyDescent="0.35">
      <c r="A66" t="str">
        <v>Steven Turner</v>
      </c>
      <c r="B66" t="str">
        <v>P007</v>
      </c>
      <c r="C66" t="str">
        <v>Desk</v>
      </c>
      <c r="D66" t="str">
        <v>Furniture</v>
      </c>
      <c r="E66">
        <v>2</v>
      </c>
      <c r="F66" s="23">
        <v>299.99</v>
      </c>
      <c r="G66" t="str">
        <v>Cash</v>
      </c>
      <c r="H66" t="str">
        <v>East</v>
      </c>
      <c r="I66" t="str">
        <v>Premium</v>
      </c>
      <c r="J66" s="5">
        <v>44724</v>
      </c>
      <c r="K66" s="22">
        <v>599.98</v>
      </c>
    </row>
    <row r="67" spans="1:11" x14ac:dyDescent="0.35">
      <c r="A67" t="str">
        <v>Linda Martin</v>
      </c>
      <c r="B67" t="str">
        <v>P003</v>
      </c>
      <c r="C67" t="str">
        <v>Headphones</v>
      </c>
      <c r="D67" t="str">
        <v>Electronics</v>
      </c>
      <c r="E67">
        <v>2</v>
      </c>
      <c r="F67" s="23">
        <v>149.99</v>
      </c>
      <c r="G67" t="str">
        <v>Debit Card</v>
      </c>
      <c r="H67" t="str">
        <v>West</v>
      </c>
      <c r="I67" t="str">
        <v>Premium</v>
      </c>
      <c r="J67" s="5">
        <v>45280</v>
      </c>
      <c r="K67" s="22">
        <v>299.98</v>
      </c>
    </row>
    <row r="68" spans="1:11" x14ac:dyDescent="0.35">
      <c r="A68" t="str">
        <v>Robert Thomas</v>
      </c>
      <c r="B68" t="str">
        <v>P010</v>
      </c>
      <c r="C68" t="str">
        <v>Keyboard</v>
      </c>
      <c r="D68" t="str">
        <v>Electronics</v>
      </c>
      <c r="E68">
        <v>1</v>
      </c>
      <c r="F68" s="23">
        <v>89.99</v>
      </c>
      <c r="G68" t="str">
        <v>Credit Card</v>
      </c>
      <c r="H68" t="str">
        <v>South</v>
      </c>
      <c r="I68" t="str">
        <v>Premium</v>
      </c>
      <c r="J68" s="5">
        <v>44591</v>
      </c>
      <c r="K68" s="22">
        <v>89.99</v>
      </c>
    </row>
    <row r="69" spans="1:11" x14ac:dyDescent="0.35">
      <c r="A69" t="str">
        <v>Nancy Collins</v>
      </c>
      <c r="B69" t="str">
        <v>P008</v>
      </c>
      <c r="C69" t="str">
        <v>Bookshelf</v>
      </c>
      <c r="D69" t="str">
        <v>Furniture</v>
      </c>
      <c r="E69">
        <v>5</v>
      </c>
      <c r="F69" s="23">
        <v>149.99</v>
      </c>
      <c r="G69" t="str">
        <v>Cash</v>
      </c>
      <c r="H69" t="str">
        <v>Central</v>
      </c>
      <c r="I69" t="str">
        <v>Premium</v>
      </c>
      <c r="J69" s="5">
        <v>45347</v>
      </c>
      <c r="K69" s="22">
        <v>749.95</v>
      </c>
    </row>
    <row r="70" spans="1:11" x14ac:dyDescent="0.35">
      <c r="A70" t="str">
        <v>Mark Carter</v>
      </c>
      <c r="B70" t="str">
        <v>P001</v>
      </c>
      <c r="C70" t="str">
        <v>Laptop</v>
      </c>
      <c r="D70" t="str">
        <v>Electronics</v>
      </c>
      <c r="E70">
        <v>1</v>
      </c>
      <c r="F70" s="23">
        <v>899.99</v>
      </c>
      <c r="G70" t="str">
        <v>PayPal</v>
      </c>
      <c r="H70" t="str">
        <v>North</v>
      </c>
      <c r="I70" t="str">
        <v>Premium</v>
      </c>
      <c r="J70" s="5">
        <v>45050</v>
      </c>
      <c r="K70" s="22">
        <v>899.99</v>
      </c>
    </row>
    <row r="71" spans="1:11" x14ac:dyDescent="0.35">
      <c r="A71" t="str">
        <v>Daniel King</v>
      </c>
      <c r="B71" t="str">
        <v>P010</v>
      </c>
      <c r="C71" t="str">
        <v>Keyboard</v>
      </c>
      <c r="D71" t="str">
        <v>Electronics</v>
      </c>
      <c r="E71">
        <v>2</v>
      </c>
      <c r="F71" s="23">
        <v>89.99</v>
      </c>
      <c r="G71" t="str">
        <v>Credit Card</v>
      </c>
      <c r="H71" t="str">
        <v>South</v>
      </c>
      <c r="I71" t="str">
        <v>Premium</v>
      </c>
      <c r="J71" s="5">
        <v>44564</v>
      </c>
      <c r="K71" s="22">
        <v>179.98</v>
      </c>
    </row>
    <row r="72" spans="1:11" x14ac:dyDescent="0.35">
      <c r="A72" t="str">
        <v>Lisa Anderson</v>
      </c>
      <c r="B72" t="str">
        <v>P003</v>
      </c>
      <c r="C72" t="str">
        <v>Headphones</v>
      </c>
      <c r="D72" t="str">
        <v>Electronics</v>
      </c>
      <c r="E72">
        <v>5</v>
      </c>
      <c r="F72" s="23">
        <v>149.99</v>
      </c>
      <c r="G72" t="str">
        <v>PayPal</v>
      </c>
      <c r="H72" t="str">
        <v>East</v>
      </c>
      <c r="I72" t="str">
        <v>Premium</v>
      </c>
      <c r="J72" s="5">
        <v>44824</v>
      </c>
      <c r="K72" s="22">
        <v>749.95</v>
      </c>
    </row>
    <row r="73" spans="1:11" x14ac:dyDescent="0.35">
      <c r="A73" t="str">
        <v>Karen Hill</v>
      </c>
      <c r="B73" t="str">
        <v>P002</v>
      </c>
      <c r="C73" t="str">
        <v>Smartphone</v>
      </c>
      <c r="D73" t="str">
        <v>Electronics</v>
      </c>
      <c r="E73">
        <v>3</v>
      </c>
      <c r="F73" s="23">
        <v>699.99</v>
      </c>
      <c r="G73" t="str">
        <v>Credit Card</v>
      </c>
      <c r="H73" t="str">
        <v>Central</v>
      </c>
      <c r="I73" t="str">
        <v>Premium</v>
      </c>
      <c r="J73" s="5">
        <v>45105</v>
      </c>
      <c r="K73" s="22">
        <v>2099.9700000000003</v>
      </c>
    </row>
    <row r="74" spans="1:11" x14ac:dyDescent="0.35">
      <c r="A74" t="str">
        <v>Michelle Rogers</v>
      </c>
      <c r="B74" t="str">
        <v>P002</v>
      </c>
      <c r="C74" t="str">
        <v>Smartphone</v>
      </c>
      <c r="D74" t="str">
        <v>Electronics</v>
      </c>
      <c r="E74">
        <v>3</v>
      </c>
      <c r="F74" s="23">
        <v>699.99</v>
      </c>
      <c r="G74" t="str">
        <v>Cash</v>
      </c>
      <c r="H74" t="str">
        <v>North</v>
      </c>
      <c r="I74" t="str">
        <v>Premium</v>
      </c>
      <c r="J74" s="5">
        <v>44602</v>
      </c>
      <c r="K74" s="22">
        <v>2099.9700000000003</v>
      </c>
    </row>
    <row r="75" spans="1:11" x14ac:dyDescent="0.35">
      <c r="A75" t="str">
        <v>Betty Campbell</v>
      </c>
      <c r="B75" t="str">
        <v>P009</v>
      </c>
      <c r="C75" t="str">
        <v>Monitor</v>
      </c>
      <c r="D75" t="str">
        <v>Electronics</v>
      </c>
      <c r="E75">
        <v>4</v>
      </c>
      <c r="F75" s="23">
        <v>249.99</v>
      </c>
      <c r="G75" t="str">
        <v>Credit Card</v>
      </c>
      <c r="H75" t="str">
        <v>North</v>
      </c>
      <c r="I75" t="str">
        <v>Premium</v>
      </c>
      <c r="J75" s="5">
        <v>44460</v>
      </c>
      <c r="K75" s="22">
        <v>999.96</v>
      </c>
    </row>
    <row r="76" spans="1:11" x14ac:dyDescent="0.35">
      <c r="A76" t="str">
        <v>Dorothy Nelson</v>
      </c>
      <c r="B76" t="str">
        <v>P009</v>
      </c>
      <c r="C76" t="str">
        <v>Monitor</v>
      </c>
      <c r="D76" t="str">
        <v>Electronics</v>
      </c>
      <c r="E76">
        <v>4</v>
      </c>
      <c r="F76" s="23">
        <v>249.99</v>
      </c>
      <c r="G76" t="str">
        <v>Debit Card</v>
      </c>
      <c r="H76" t="str">
        <v>Central</v>
      </c>
      <c r="I76" t="str">
        <v>Premium</v>
      </c>
      <c r="J76" s="5">
        <v>45217</v>
      </c>
      <c r="K76" s="22">
        <v>999.96</v>
      </c>
    </row>
    <row r="77" spans="1:11" x14ac:dyDescent="0.35">
      <c r="A77" t="str">
        <v>Douglas Watson</v>
      </c>
      <c r="B77" t="str">
        <v>P002</v>
      </c>
      <c r="C77" t="str">
        <v>Smartphone</v>
      </c>
      <c r="D77" t="str">
        <v>Electronics</v>
      </c>
      <c r="E77">
        <v>2</v>
      </c>
      <c r="F77" s="23">
        <v>699.99</v>
      </c>
      <c r="G77" t="str">
        <v>Debit Card</v>
      </c>
      <c r="H77" t="str">
        <v>Central</v>
      </c>
      <c r="I77" t="str">
        <v>Premium</v>
      </c>
      <c r="J77" s="5">
        <v>44681</v>
      </c>
      <c r="K77" s="22">
        <v>1399.98</v>
      </c>
    </row>
    <row r="78" spans="1:11" x14ac:dyDescent="0.35">
      <c r="A78" t="str">
        <v>Karen Hill</v>
      </c>
      <c r="B78" t="str">
        <v>P002</v>
      </c>
      <c r="C78" t="str">
        <v>Smartphone</v>
      </c>
      <c r="D78" t="str">
        <v>Electronics</v>
      </c>
      <c r="E78">
        <v>4</v>
      </c>
      <c r="F78" s="23">
        <v>699.99</v>
      </c>
      <c r="G78" t="str">
        <v>Debit Card</v>
      </c>
      <c r="H78" t="str">
        <v>West</v>
      </c>
      <c r="I78" t="str">
        <v>Premium</v>
      </c>
      <c r="J78" s="5">
        <v>44692</v>
      </c>
      <c r="K78" s="22">
        <v>2799.96</v>
      </c>
    </row>
    <row r="79" spans="1:11" x14ac:dyDescent="0.35">
      <c r="A79" t="str">
        <v>Michael Brown</v>
      </c>
      <c r="B79" t="str">
        <v>P010</v>
      </c>
      <c r="C79" t="str">
        <v>Keyboard</v>
      </c>
      <c r="D79" t="str">
        <v>Electronics</v>
      </c>
      <c r="E79">
        <v>3</v>
      </c>
      <c r="F79" s="23">
        <v>89.99</v>
      </c>
      <c r="G79" t="str">
        <v>Debit Card</v>
      </c>
      <c r="H79" t="str">
        <v>South</v>
      </c>
      <c r="I79" t="str">
        <v>Premium</v>
      </c>
      <c r="J79" s="5">
        <v>45307</v>
      </c>
      <c r="K79" s="22">
        <v>269.96999999999997</v>
      </c>
    </row>
    <row r="80" spans="1:11" x14ac:dyDescent="0.35">
      <c r="A80" t="str">
        <v>Ruth Brooks</v>
      </c>
      <c r="B80" t="str">
        <v>P008</v>
      </c>
      <c r="C80" t="str">
        <v>Bookshelf</v>
      </c>
      <c r="D80" t="str">
        <v>Furniture</v>
      </c>
      <c r="E80">
        <v>3</v>
      </c>
      <c r="F80" s="23">
        <v>149.99</v>
      </c>
      <c r="G80" t="str">
        <v>Debit Card</v>
      </c>
      <c r="H80" t="str">
        <v>North</v>
      </c>
      <c r="I80" t="str">
        <v>Premium</v>
      </c>
      <c r="J80" s="5">
        <v>44564</v>
      </c>
      <c r="K80" s="22">
        <v>449.97</v>
      </c>
    </row>
    <row r="81" spans="1:11" x14ac:dyDescent="0.35">
      <c r="A81" t="str">
        <v>Nancy Collins</v>
      </c>
      <c r="B81" t="str">
        <v>P004</v>
      </c>
      <c r="C81" t="str">
        <v>Coffee Maker</v>
      </c>
      <c r="D81" t="str">
        <v>Appliances</v>
      </c>
      <c r="E81">
        <v>3</v>
      </c>
      <c r="F81" s="23">
        <v>79.989999999999995</v>
      </c>
      <c r="G81" t="str">
        <v>Cash</v>
      </c>
      <c r="H81" t="str">
        <v>East</v>
      </c>
      <c r="I81" t="str">
        <v>Premium</v>
      </c>
      <c r="J81" s="5">
        <v>44436</v>
      </c>
      <c r="K81" s="22">
        <v>239.96999999999997</v>
      </c>
    </row>
    <row r="82" spans="1:11" x14ac:dyDescent="0.35">
      <c r="A82" t="str">
        <v>Richard Lee</v>
      </c>
      <c r="B82" t="str">
        <v>P008</v>
      </c>
      <c r="C82" t="str">
        <v>Bookshelf</v>
      </c>
      <c r="D82" t="str">
        <v>Furniture</v>
      </c>
      <c r="E82">
        <v>2</v>
      </c>
      <c r="F82" s="23">
        <v>149.99</v>
      </c>
      <c r="G82" t="str">
        <v>Cash</v>
      </c>
      <c r="H82" t="str">
        <v>South</v>
      </c>
      <c r="I82" t="str">
        <v>Premium</v>
      </c>
      <c r="J82" s="5">
        <v>44728</v>
      </c>
      <c r="K82" s="22">
        <v>299.98</v>
      </c>
    </row>
    <row r="83" spans="1:11" x14ac:dyDescent="0.35">
      <c r="A83" t="str">
        <v>Edward Mitchell</v>
      </c>
      <c r="B83" t="str">
        <v>P002</v>
      </c>
      <c r="C83" t="str">
        <v>Smartphone</v>
      </c>
      <c r="D83" t="str">
        <v>Electronics</v>
      </c>
      <c r="E83">
        <v>5</v>
      </c>
      <c r="F83" s="23">
        <v>699.99</v>
      </c>
      <c r="G83" t="str">
        <v>PayPal</v>
      </c>
      <c r="H83" t="str">
        <v>South</v>
      </c>
      <c r="I83" t="str">
        <v>Premium</v>
      </c>
      <c r="J83" s="5">
        <v>45352</v>
      </c>
      <c r="K83" s="22">
        <v>3499.95</v>
      </c>
    </row>
    <row r="84" spans="1:11" x14ac:dyDescent="0.35">
      <c r="A84" t="str">
        <v>Frank Torres</v>
      </c>
      <c r="B84" t="str">
        <v>P006</v>
      </c>
      <c r="C84" t="str">
        <v>Office Chair</v>
      </c>
      <c r="D84" t="str">
        <v>Furniture</v>
      </c>
      <c r="E84">
        <v>3</v>
      </c>
      <c r="F84" s="23">
        <v>199.99</v>
      </c>
      <c r="G84" t="str">
        <v>Cash</v>
      </c>
      <c r="H84" t="str">
        <v>West</v>
      </c>
      <c r="I84" t="str">
        <v>Premium</v>
      </c>
      <c r="J84" s="5">
        <v>44823</v>
      </c>
      <c r="K84" s="22">
        <v>599.97</v>
      </c>
    </row>
    <row r="85" spans="1:11" x14ac:dyDescent="0.35">
      <c r="A85" t="str">
        <v>Ruth Brooks</v>
      </c>
      <c r="B85" t="str">
        <v>P002</v>
      </c>
      <c r="C85" t="str">
        <v>Smartphone</v>
      </c>
      <c r="D85" t="str">
        <v>Electronics</v>
      </c>
      <c r="E85">
        <v>1</v>
      </c>
      <c r="F85" s="23">
        <v>699.99</v>
      </c>
      <c r="G85" t="str">
        <v>Cash</v>
      </c>
      <c r="H85" t="str">
        <v>North</v>
      </c>
      <c r="I85" t="str">
        <v>Premium</v>
      </c>
      <c r="J85" s="5">
        <v>44583</v>
      </c>
      <c r="K85" s="22">
        <v>699.99</v>
      </c>
    </row>
    <row r="86" spans="1:11" x14ac:dyDescent="0.35">
      <c r="A86" t="str">
        <v>Arthur Edwards</v>
      </c>
      <c r="B86" t="str">
        <v>P008</v>
      </c>
      <c r="C86" t="str">
        <v>Bookshelf</v>
      </c>
      <c r="D86" t="str">
        <v>Furniture</v>
      </c>
      <c r="E86">
        <v>4</v>
      </c>
      <c r="F86" s="23">
        <v>149.99</v>
      </c>
      <c r="G86" t="str">
        <v>PayPal</v>
      </c>
      <c r="H86" t="str">
        <v>North</v>
      </c>
      <c r="I86" t="str">
        <v>Premium</v>
      </c>
      <c r="J86" s="5">
        <v>44412</v>
      </c>
      <c r="K86" s="22">
        <v>599.96</v>
      </c>
    </row>
    <row r="87" spans="1:11" x14ac:dyDescent="0.35">
      <c r="A87" t="str">
        <v>Elizabeth Hall</v>
      </c>
      <c r="B87" t="str">
        <v>P010</v>
      </c>
      <c r="C87" t="str">
        <v>Keyboard</v>
      </c>
      <c r="D87" t="str">
        <v>Electronics</v>
      </c>
      <c r="E87">
        <v>5</v>
      </c>
      <c r="F87" s="23">
        <v>89.99</v>
      </c>
      <c r="G87" t="str">
        <v>PayPal</v>
      </c>
      <c r="H87" t="str">
        <v>West</v>
      </c>
      <c r="I87" t="str">
        <v>Premium</v>
      </c>
      <c r="J87" s="5">
        <v>45140</v>
      </c>
      <c r="K87" s="22">
        <v>449.95</v>
      </c>
    </row>
    <row r="88" spans="1:11" x14ac:dyDescent="0.35">
      <c r="A88" t="str">
        <v>Steven Turner</v>
      </c>
      <c r="B88" t="str">
        <v>P006</v>
      </c>
      <c r="C88" t="str">
        <v>Office Chair</v>
      </c>
      <c r="D88" t="str">
        <v>Furniture</v>
      </c>
      <c r="E88">
        <v>2</v>
      </c>
      <c r="F88" s="23">
        <v>199.99</v>
      </c>
      <c r="G88" t="str">
        <v>Cash</v>
      </c>
      <c r="H88" t="str">
        <v>Central</v>
      </c>
      <c r="I88" t="str">
        <v>Premium</v>
      </c>
      <c r="J88" s="5">
        <v>44573</v>
      </c>
      <c r="K88" s="22">
        <v>399.98</v>
      </c>
    </row>
    <row r="89" spans="1:11" x14ac:dyDescent="0.35">
      <c r="A89" t="str">
        <v>Lawrence Reed</v>
      </c>
      <c r="B89" t="str">
        <v>P002</v>
      </c>
      <c r="C89" t="str">
        <v>Smartphone</v>
      </c>
      <c r="D89" t="str">
        <v>Electronics</v>
      </c>
      <c r="E89">
        <v>5</v>
      </c>
      <c r="F89" s="23">
        <v>699.99</v>
      </c>
      <c r="G89" t="str">
        <v>Debit Card</v>
      </c>
      <c r="H89" t="str">
        <v>East</v>
      </c>
      <c r="I89" t="str">
        <v>Premium</v>
      </c>
      <c r="J89" s="5">
        <v>45161</v>
      </c>
      <c r="K89" s="22">
        <v>3499.95</v>
      </c>
    </row>
    <row r="90" spans="1:11" x14ac:dyDescent="0.35">
      <c r="A90" t="str">
        <v>Dennis Gray</v>
      </c>
      <c r="B90" t="str">
        <v>P005</v>
      </c>
      <c r="C90" t="str">
        <v>Blender</v>
      </c>
      <c r="D90" t="str">
        <v>Appliances</v>
      </c>
      <c r="E90">
        <v>5</v>
      </c>
      <c r="F90" s="23">
        <v>59.99</v>
      </c>
      <c r="G90" t="str">
        <v>Cash</v>
      </c>
      <c r="H90" t="str">
        <v>West</v>
      </c>
      <c r="I90" t="str">
        <v>Premium</v>
      </c>
      <c r="J90" s="5">
        <v>45291</v>
      </c>
      <c r="K90" s="22">
        <v>299.95</v>
      </c>
    </row>
    <row r="91" spans="1:11" x14ac:dyDescent="0.35">
      <c r="A91" t="str">
        <v>Paul Baker</v>
      </c>
      <c r="B91" t="str">
        <v>P010</v>
      </c>
      <c r="C91" t="str">
        <v>Keyboard</v>
      </c>
      <c r="D91" t="str">
        <v>Electronics</v>
      </c>
      <c r="E91">
        <v>2</v>
      </c>
      <c r="F91" s="23">
        <v>89.99</v>
      </c>
      <c r="G91" t="str">
        <v>Credit Card</v>
      </c>
      <c r="H91" t="str">
        <v>West</v>
      </c>
      <c r="I91" t="str">
        <v>Premium</v>
      </c>
      <c r="J91" s="5">
        <v>45295</v>
      </c>
      <c r="K91" s="22">
        <v>179.98</v>
      </c>
    </row>
    <row r="92" spans="1:11" x14ac:dyDescent="0.35">
      <c r="A92" t="str">
        <v>Lawrence Reed</v>
      </c>
      <c r="B92" t="str">
        <v>P008</v>
      </c>
      <c r="C92" t="str">
        <v>Bookshelf</v>
      </c>
      <c r="D92" t="str">
        <v>Furniture</v>
      </c>
      <c r="E92">
        <v>2</v>
      </c>
      <c r="F92" s="23">
        <v>149.99</v>
      </c>
      <c r="G92" t="str">
        <v>PayPal</v>
      </c>
      <c r="H92" t="str">
        <v>Central</v>
      </c>
      <c r="I92" t="str">
        <v>Premium</v>
      </c>
      <c r="J92" s="5">
        <v>44632</v>
      </c>
      <c r="K92" s="22">
        <v>299.98</v>
      </c>
    </row>
    <row r="93" spans="1:11" x14ac:dyDescent="0.35">
      <c r="A93" t="str">
        <v>Harry Morgan</v>
      </c>
      <c r="B93" t="str">
        <v>P001</v>
      </c>
      <c r="C93" t="str">
        <v>Laptop</v>
      </c>
      <c r="D93" t="str">
        <v>Electronics</v>
      </c>
      <c r="E93">
        <v>5</v>
      </c>
      <c r="F93" s="23">
        <v>899.99</v>
      </c>
      <c r="G93" t="str">
        <v>PayPal</v>
      </c>
      <c r="H93" t="str">
        <v>East</v>
      </c>
      <c r="I93" t="str">
        <v>Premium</v>
      </c>
      <c r="J93" s="5">
        <v>45389</v>
      </c>
      <c r="K93" s="22">
        <v>4499.95</v>
      </c>
    </row>
    <row r="94" spans="1:11" x14ac:dyDescent="0.35">
      <c r="A94" t="str">
        <v>Emma Wilson</v>
      </c>
      <c r="B94" t="str">
        <v>P008</v>
      </c>
      <c r="C94" t="str">
        <v>Bookshelf</v>
      </c>
      <c r="D94" t="str">
        <v>Furniture</v>
      </c>
      <c r="E94">
        <v>2</v>
      </c>
      <c r="F94" s="23">
        <v>149.99</v>
      </c>
      <c r="G94" t="str">
        <v>Cash</v>
      </c>
      <c r="H94" t="str">
        <v>West</v>
      </c>
      <c r="I94" t="str">
        <v>Premium</v>
      </c>
      <c r="J94" s="5">
        <v>45233</v>
      </c>
      <c r="K94" s="22">
        <v>299.98</v>
      </c>
    </row>
    <row r="95" spans="1:11" x14ac:dyDescent="0.35">
      <c r="A95" t="str">
        <v>Sharon Butler</v>
      </c>
      <c r="B95" t="str">
        <v>P001</v>
      </c>
      <c r="C95" t="str">
        <v>Laptop</v>
      </c>
      <c r="D95" t="str">
        <v>Electronics</v>
      </c>
      <c r="E95">
        <v>3</v>
      </c>
      <c r="F95" s="23">
        <v>899.99</v>
      </c>
      <c r="G95" t="str">
        <v>Debit Card</v>
      </c>
      <c r="H95" t="str">
        <v>North</v>
      </c>
      <c r="I95" t="str">
        <v>Premium</v>
      </c>
      <c r="J95" s="5">
        <v>44876</v>
      </c>
      <c r="K95" s="22">
        <v>2699.9700000000003</v>
      </c>
    </row>
    <row r="96" spans="1:11" x14ac:dyDescent="0.35">
      <c r="A96" t="str">
        <v>Paul Baker</v>
      </c>
      <c r="B96" t="str">
        <v>P007</v>
      </c>
      <c r="C96" t="str">
        <v>Desk</v>
      </c>
      <c r="D96" t="str">
        <v>Furniture</v>
      </c>
      <c r="E96">
        <v>3</v>
      </c>
      <c r="F96" s="23">
        <v>299.99</v>
      </c>
      <c r="G96" t="str">
        <v>Credit Card</v>
      </c>
      <c r="H96" t="str">
        <v>West</v>
      </c>
      <c r="I96" t="str">
        <v>Premium</v>
      </c>
      <c r="J96" s="5">
        <v>45234</v>
      </c>
      <c r="K96" s="22">
        <v>899.97</v>
      </c>
    </row>
    <row r="97" spans="1:11" x14ac:dyDescent="0.35">
      <c r="A97" t="str">
        <v>Karen Hill</v>
      </c>
      <c r="B97" t="str">
        <v>P010</v>
      </c>
      <c r="C97" t="str">
        <v>Keyboard</v>
      </c>
      <c r="D97" t="str">
        <v>Electronics</v>
      </c>
      <c r="E97">
        <v>2</v>
      </c>
      <c r="F97" s="23">
        <v>89.99</v>
      </c>
      <c r="G97" t="str">
        <v>Debit Card</v>
      </c>
      <c r="H97" t="str">
        <v>West</v>
      </c>
      <c r="I97" t="str">
        <v>Premium</v>
      </c>
      <c r="J97" s="5">
        <v>44522</v>
      </c>
      <c r="K97" s="22">
        <v>179.98</v>
      </c>
    </row>
    <row r="98" spans="1:11" x14ac:dyDescent="0.35">
      <c r="A98" t="str">
        <v>Steven Turner</v>
      </c>
      <c r="B98" t="str">
        <v>P010</v>
      </c>
      <c r="C98" t="str">
        <v>Keyboard</v>
      </c>
      <c r="D98" t="str">
        <v>Electronics</v>
      </c>
      <c r="E98">
        <v>3</v>
      </c>
      <c r="F98" s="23">
        <v>89.99</v>
      </c>
      <c r="G98" t="str">
        <v>Debit Card</v>
      </c>
      <c r="H98" t="str">
        <v>North</v>
      </c>
      <c r="I98" t="str">
        <v>Premium</v>
      </c>
      <c r="J98" s="5">
        <v>44878</v>
      </c>
      <c r="K98" s="22">
        <v>269.96999999999997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0A56-8FDF-4324-987D-AB943D79A6FA}">
  <dimension ref="A1:K251"/>
  <sheetViews>
    <sheetView tabSelected="1" workbookViewId="0">
      <selection activeCell="N12" sqref="N12"/>
    </sheetView>
  </sheetViews>
  <sheetFormatPr defaultRowHeight="14.5" x14ac:dyDescent="0.35"/>
  <cols>
    <col min="10" max="10" width="13" customWidth="1"/>
    <col min="11" max="11" width="11.6328125" customWidth="1"/>
  </cols>
  <sheetData>
    <row r="1" spans="1:11" ht="44" thickBot="1" x14ac:dyDescent="0.4">
      <c r="A1" s="9" t="s">
        <v>56</v>
      </c>
      <c r="B1" s="9" t="s">
        <v>57</v>
      </c>
      <c r="C1" s="9" t="s">
        <v>58</v>
      </c>
      <c r="D1" s="9" t="s">
        <v>59</v>
      </c>
      <c r="E1" s="9" t="s">
        <v>24</v>
      </c>
      <c r="F1" s="9" t="s">
        <v>60</v>
      </c>
      <c r="G1" s="9" t="s">
        <v>61</v>
      </c>
      <c r="H1" s="9" t="s">
        <v>62</v>
      </c>
      <c r="I1" s="9" t="s">
        <v>63</v>
      </c>
      <c r="J1" s="9" t="s">
        <v>64</v>
      </c>
      <c r="K1" s="24" t="s">
        <v>65</v>
      </c>
    </row>
    <row r="2" spans="1:11" ht="29.5" thickBot="1" x14ac:dyDescent="0.4">
      <c r="A2" s="1" t="s">
        <v>68</v>
      </c>
      <c r="B2" s="1" t="s">
        <v>69</v>
      </c>
      <c r="C2" s="1" t="s">
        <v>70</v>
      </c>
      <c r="D2" s="1" t="s">
        <v>28</v>
      </c>
      <c r="E2" s="3">
        <v>4</v>
      </c>
      <c r="F2" s="26">
        <v>249.99</v>
      </c>
      <c r="G2" s="1" t="s">
        <v>71</v>
      </c>
      <c r="H2" s="1" t="s">
        <v>72</v>
      </c>
      <c r="I2" s="1" t="s">
        <v>73</v>
      </c>
      <c r="J2" s="2">
        <v>44425</v>
      </c>
      <c r="K2" s="25">
        <f>F2*E2</f>
        <v>999.96</v>
      </c>
    </row>
    <row r="3" spans="1:11" ht="29.5" thickBot="1" x14ac:dyDescent="0.4">
      <c r="A3" s="1" t="s">
        <v>76</v>
      </c>
      <c r="B3" s="1" t="s">
        <v>69</v>
      </c>
      <c r="C3" s="1" t="s">
        <v>70</v>
      </c>
      <c r="D3" s="1" t="s">
        <v>28</v>
      </c>
      <c r="E3" s="3">
        <v>3</v>
      </c>
      <c r="F3" s="26">
        <v>249.99</v>
      </c>
      <c r="G3" s="1" t="s">
        <v>77</v>
      </c>
      <c r="H3" s="1" t="s">
        <v>72</v>
      </c>
      <c r="I3" s="1" t="s">
        <v>78</v>
      </c>
      <c r="J3" s="2">
        <v>44575</v>
      </c>
      <c r="K3" s="25">
        <f t="shared" ref="K3:K66" si="0">F3*E3</f>
        <v>749.97</v>
      </c>
    </row>
    <row r="4" spans="1:11" ht="29.5" thickBot="1" x14ac:dyDescent="0.4">
      <c r="A4" s="1" t="s">
        <v>81</v>
      </c>
      <c r="B4" s="1" t="s">
        <v>82</v>
      </c>
      <c r="C4" s="1" t="s">
        <v>83</v>
      </c>
      <c r="D4" s="1" t="s">
        <v>27</v>
      </c>
      <c r="E4" s="3">
        <v>2</v>
      </c>
      <c r="F4" s="26">
        <v>59.99</v>
      </c>
      <c r="G4" s="1" t="s">
        <v>84</v>
      </c>
      <c r="H4" s="1" t="s">
        <v>52</v>
      </c>
      <c r="I4" s="1" t="s">
        <v>85</v>
      </c>
      <c r="J4" s="2">
        <v>45262</v>
      </c>
      <c r="K4" s="25">
        <f t="shared" si="0"/>
        <v>119.98</v>
      </c>
    </row>
    <row r="5" spans="1:11" ht="29.5" thickBot="1" x14ac:dyDescent="0.4">
      <c r="A5" s="1" t="s">
        <v>88</v>
      </c>
      <c r="B5" s="1" t="s">
        <v>82</v>
      </c>
      <c r="C5" s="1" t="s">
        <v>83</v>
      </c>
      <c r="D5" s="1" t="s">
        <v>27</v>
      </c>
      <c r="E5" s="3">
        <v>4</v>
      </c>
      <c r="F5" s="26">
        <v>59.99</v>
      </c>
      <c r="G5" s="1" t="s">
        <v>71</v>
      </c>
      <c r="H5" s="1" t="s">
        <v>89</v>
      </c>
      <c r="I5" s="1" t="s">
        <v>78</v>
      </c>
      <c r="J5" s="2">
        <v>45114</v>
      </c>
      <c r="K5" s="25">
        <f t="shared" si="0"/>
        <v>239.96</v>
      </c>
    </row>
    <row r="6" spans="1:11" ht="29.5" thickBot="1" x14ac:dyDescent="0.4">
      <c r="A6" s="1" t="s">
        <v>92</v>
      </c>
      <c r="B6" s="1" t="s">
        <v>93</v>
      </c>
      <c r="C6" s="1" t="s">
        <v>94</v>
      </c>
      <c r="D6" s="1" t="s">
        <v>29</v>
      </c>
      <c r="E6" s="3">
        <v>3</v>
      </c>
      <c r="F6" s="26">
        <v>149.99</v>
      </c>
      <c r="G6" s="1" t="s">
        <v>77</v>
      </c>
      <c r="H6" s="1" t="s">
        <v>89</v>
      </c>
      <c r="I6" s="1" t="s">
        <v>78</v>
      </c>
      <c r="J6" s="2">
        <v>45295</v>
      </c>
      <c r="K6" s="25">
        <f t="shared" si="0"/>
        <v>449.97</v>
      </c>
    </row>
    <row r="7" spans="1:11" ht="29.5" thickBot="1" x14ac:dyDescent="0.4">
      <c r="A7" s="1" t="s">
        <v>97</v>
      </c>
      <c r="B7" s="1" t="s">
        <v>82</v>
      </c>
      <c r="C7" s="1" t="s">
        <v>83</v>
      </c>
      <c r="D7" s="1" t="s">
        <v>27</v>
      </c>
      <c r="E7" s="3">
        <v>2</v>
      </c>
      <c r="F7" s="26">
        <v>59.99</v>
      </c>
      <c r="G7" s="1" t="s">
        <v>71</v>
      </c>
      <c r="H7" s="1" t="s">
        <v>98</v>
      </c>
      <c r="I7" s="1" t="s">
        <v>85</v>
      </c>
      <c r="J7" s="2">
        <v>44746</v>
      </c>
      <c r="K7" s="25">
        <f t="shared" si="0"/>
        <v>119.98</v>
      </c>
    </row>
    <row r="8" spans="1:11" ht="29.5" thickBot="1" x14ac:dyDescent="0.4">
      <c r="A8" s="1" t="s">
        <v>97</v>
      </c>
      <c r="B8" s="1" t="s">
        <v>100</v>
      </c>
      <c r="C8" s="1" t="s">
        <v>101</v>
      </c>
      <c r="D8" s="1" t="s">
        <v>28</v>
      </c>
      <c r="E8" s="3">
        <v>5</v>
      </c>
      <c r="F8" s="26">
        <v>149.99</v>
      </c>
      <c r="G8" s="1" t="s">
        <v>77</v>
      </c>
      <c r="H8" s="1" t="s">
        <v>72</v>
      </c>
      <c r="I8" s="1" t="s">
        <v>85</v>
      </c>
      <c r="J8" s="2">
        <v>44418</v>
      </c>
      <c r="K8" s="25">
        <f t="shared" si="0"/>
        <v>749.95</v>
      </c>
    </row>
    <row r="9" spans="1:11" ht="29.5" thickBot="1" x14ac:dyDescent="0.4">
      <c r="A9" s="1" t="s">
        <v>104</v>
      </c>
      <c r="B9" s="1" t="s">
        <v>82</v>
      </c>
      <c r="C9" s="1" t="s">
        <v>83</v>
      </c>
      <c r="D9" s="1" t="s">
        <v>27</v>
      </c>
      <c r="E9" s="3">
        <v>3</v>
      </c>
      <c r="F9" s="26">
        <v>59.99</v>
      </c>
      <c r="G9" s="1" t="s">
        <v>105</v>
      </c>
      <c r="H9" s="1" t="s">
        <v>52</v>
      </c>
      <c r="I9" s="1" t="s">
        <v>73</v>
      </c>
      <c r="J9" s="2">
        <v>45007</v>
      </c>
      <c r="K9" s="25">
        <f t="shared" si="0"/>
        <v>179.97</v>
      </c>
    </row>
    <row r="10" spans="1:11" ht="29.5" thickBot="1" x14ac:dyDescent="0.4">
      <c r="A10" s="1" t="s">
        <v>108</v>
      </c>
      <c r="B10" s="1" t="s">
        <v>109</v>
      </c>
      <c r="C10" s="1" t="s">
        <v>110</v>
      </c>
      <c r="D10" s="1" t="s">
        <v>28</v>
      </c>
      <c r="E10" s="3">
        <v>3</v>
      </c>
      <c r="F10" s="26">
        <v>899.99</v>
      </c>
      <c r="G10" s="1" t="s">
        <v>84</v>
      </c>
      <c r="H10" s="1" t="s">
        <v>111</v>
      </c>
      <c r="I10" s="1" t="s">
        <v>85</v>
      </c>
      <c r="J10" s="2">
        <v>45299</v>
      </c>
      <c r="K10" s="25">
        <f t="shared" si="0"/>
        <v>2699.9700000000003</v>
      </c>
    </row>
    <row r="11" spans="1:11" ht="29.5" thickBot="1" x14ac:dyDescent="0.4">
      <c r="A11" s="1" t="s">
        <v>114</v>
      </c>
      <c r="B11" s="1" t="s">
        <v>82</v>
      </c>
      <c r="C11" s="1" t="s">
        <v>83</v>
      </c>
      <c r="D11" s="1" t="s">
        <v>27</v>
      </c>
      <c r="E11" s="3">
        <v>3</v>
      </c>
      <c r="F11" s="26">
        <v>59.99</v>
      </c>
      <c r="G11" s="1" t="s">
        <v>71</v>
      </c>
      <c r="H11" s="1" t="s">
        <v>98</v>
      </c>
      <c r="I11" s="1" t="s">
        <v>78</v>
      </c>
      <c r="J11" s="2">
        <v>45207</v>
      </c>
      <c r="K11" s="25">
        <f t="shared" si="0"/>
        <v>179.97</v>
      </c>
    </row>
    <row r="12" spans="1:11" ht="29.5" thickBot="1" x14ac:dyDescent="0.4">
      <c r="A12" s="1" t="s">
        <v>117</v>
      </c>
      <c r="B12" s="1" t="s">
        <v>93</v>
      </c>
      <c r="C12" s="1" t="s">
        <v>94</v>
      </c>
      <c r="D12" s="1" t="s">
        <v>29</v>
      </c>
      <c r="E12" s="3">
        <v>1</v>
      </c>
      <c r="F12" s="26">
        <v>149.99</v>
      </c>
      <c r="G12" s="1" t="s">
        <v>77</v>
      </c>
      <c r="H12" s="1" t="s">
        <v>98</v>
      </c>
      <c r="I12" s="1" t="s">
        <v>85</v>
      </c>
      <c r="J12" s="2">
        <v>45103</v>
      </c>
      <c r="K12" s="25">
        <f t="shared" si="0"/>
        <v>149.99</v>
      </c>
    </row>
    <row r="13" spans="1:11" ht="29.5" thickBot="1" x14ac:dyDescent="0.4">
      <c r="A13" s="1" t="s">
        <v>88</v>
      </c>
      <c r="B13" s="1" t="s">
        <v>93</v>
      </c>
      <c r="C13" s="1" t="s">
        <v>94</v>
      </c>
      <c r="D13" s="1" t="s">
        <v>29</v>
      </c>
      <c r="E13" s="3">
        <v>5</v>
      </c>
      <c r="F13" s="26">
        <v>159.99999999999997</v>
      </c>
      <c r="G13" s="1" t="s">
        <v>105</v>
      </c>
      <c r="H13" s="1" t="s">
        <v>89</v>
      </c>
      <c r="I13" s="1" t="s">
        <v>73</v>
      </c>
      <c r="J13" s="2">
        <v>44830</v>
      </c>
      <c r="K13" s="25">
        <f t="shared" si="0"/>
        <v>799.99999999999989</v>
      </c>
    </row>
    <row r="14" spans="1:11" ht="44" thickBot="1" x14ac:dyDescent="0.4">
      <c r="A14" s="1" t="s">
        <v>121</v>
      </c>
      <c r="B14" s="1" t="s">
        <v>93</v>
      </c>
      <c r="C14" s="1" t="s">
        <v>94</v>
      </c>
      <c r="D14" s="1" t="s">
        <v>29</v>
      </c>
      <c r="E14" s="3">
        <v>3</v>
      </c>
      <c r="F14" s="26">
        <v>149.99</v>
      </c>
      <c r="G14" s="1" t="s">
        <v>71</v>
      </c>
      <c r="H14" s="1" t="s">
        <v>89</v>
      </c>
      <c r="I14" s="1" t="s">
        <v>78</v>
      </c>
      <c r="J14" s="2">
        <v>44806</v>
      </c>
      <c r="K14" s="25">
        <f t="shared" si="0"/>
        <v>449.97</v>
      </c>
    </row>
    <row r="15" spans="1:11" ht="29.5" thickBot="1" x14ac:dyDescent="0.4">
      <c r="A15" s="1" t="s">
        <v>124</v>
      </c>
      <c r="B15" s="1" t="s">
        <v>82</v>
      </c>
      <c r="C15" s="1" t="s">
        <v>83</v>
      </c>
      <c r="D15" s="1" t="s">
        <v>27</v>
      </c>
      <c r="E15" s="3">
        <v>3</v>
      </c>
      <c r="F15" s="26">
        <v>59.99</v>
      </c>
      <c r="G15" s="1" t="s">
        <v>77</v>
      </c>
      <c r="H15" s="1" t="s">
        <v>89</v>
      </c>
      <c r="I15" s="1" t="s">
        <v>85</v>
      </c>
      <c r="J15" s="2">
        <v>45351</v>
      </c>
      <c r="K15" s="25">
        <f t="shared" si="0"/>
        <v>179.97</v>
      </c>
    </row>
    <row r="16" spans="1:11" ht="29.5" thickBot="1" x14ac:dyDescent="0.4">
      <c r="A16" s="1" t="s">
        <v>127</v>
      </c>
      <c r="B16" s="1" t="s">
        <v>128</v>
      </c>
      <c r="C16" s="1" t="s">
        <v>129</v>
      </c>
      <c r="D16" s="1" t="s">
        <v>28</v>
      </c>
      <c r="E16" s="3">
        <v>3</v>
      </c>
      <c r="F16" s="26">
        <v>699.99</v>
      </c>
      <c r="G16" s="1" t="s">
        <v>77</v>
      </c>
      <c r="H16" s="1" t="s">
        <v>98</v>
      </c>
      <c r="I16" s="1" t="s">
        <v>73</v>
      </c>
      <c r="J16" s="2">
        <v>44577</v>
      </c>
      <c r="K16" s="25">
        <f t="shared" si="0"/>
        <v>2099.9700000000003</v>
      </c>
    </row>
    <row r="17" spans="1:11" ht="29.5" thickBot="1" x14ac:dyDescent="0.4">
      <c r="A17" s="1" t="s">
        <v>132</v>
      </c>
      <c r="B17" s="1" t="s">
        <v>109</v>
      </c>
      <c r="C17" s="1" t="s">
        <v>110</v>
      </c>
      <c r="D17" s="1" t="s">
        <v>28</v>
      </c>
      <c r="E17" s="3">
        <v>1</v>
      </c>
      <c r="F17" s="26">
        <v>899.99</v>
      </c>
      <c r="G17" s="1" t="s">
        <v>105</v>
      </c>
      <c r="H17" s="1" t="s">
        <v>89</v>
      </c>
      <c r="I17" s="1" t="s">
        <v>85</v>
      </c>
      <c r="J17" s="2">
        <v>44920</v>
      </c>
      <c r="K17" s="25">
        <f t="shared" si="0"/>
        <v>899.99</v>
      </c>
    </row>
    <row r="18" spans="1:11" ht="29.5" thickBot="1" x14ac:dyDescent="0.4">
      <c r="A18" s="1" t="s">
        <v>135</v>
      </c>
      <c r="B18" s="1" t="s">
        <v>93</v>
      </c>
      <c r="C18" s="1" t="s">
        <v>94</v>
      </c>
      <c r="D18" s="1" t="s">
        <v>29</v>
      </c>
      <c r="E18" s="3">
        <v>4</v>
      </c>
      <c r="F18" s="26">
        <v>149.99</v>
      </c>
      <c r="G18" s="1" t="s">
        <v>105</v>
      </c>
      <c r="H18" s="1" t="s">
        <v>89</v>
      </c>
      <c r="I18" s="1" t="s">
        <v>78</v>
      </c>
      <c r="J18" s="2">
        <v>45374</v>
      </c>
      <c r="K18" s="25">
        <f t="shared" si="0"/>
        <v>599.96</v>
      </c>
    </row>
    <row r="19" spans="1:11" ht="29.5" thickBot="1" x14ac:dyDescent="0.4">
      <c r="A19" s="1" t="s">
        <v>138</v>
      </c>
      <c r="B19" s="1" t="s">
        <v>128</v>
      </c>
      <c r="C19" s="1" t="s">
        <v>129</v>
      </c>
      <c r="D19" s="1" t="s">
        <v>28</v>
      </c>
      <c r="E19" s="3">
        <v>2</v>
      </c>
      <c r="F19" s="26">
        <v>699.99</v>
      </c>
      <c r="G19" s="1" t="s">
        <v>71</v>
      </c>
      <c r="H19" s="1" t="s">
        <v>89</v>
      </c>
      <c r="I19" s="1" t="s">
        <v>73</v>
      </c>
      <c r="J19" s="2">
        <v>44781</v>
      </c>
      <c r="K19" s="25">
        <f t="shared" si="0"/>
        <v>1399.98</v>
      </c>
    </row>
    <row r="20" spans="1:11" ht="29.5" thickBot="1" x14ac:dyDescent="0.4">
      <c r="A20" s="1" t="s">
        <v>135</v>
      </c>
      <c r="B20" s="1" t="s">
        <v>109</v>
      </c>
      <c r="C20" s="1" t="s">
        <v>110</v>
      </c>
      <c r="D20" s="1" t="s">
        <v>28</v>
      </c>
      <c r="E20" s="3">
        <v>4</v>
      </c>
      <c r="F20" s="26">
        <v>899.99</v>
      </c>
      <c r="G20" s="1" t="s">
        <v>77</v>
      </c>
      <c r="H20" s="1" t="s">
        <v>98</v>
      </c>
      <c r="I20" s="1" t="s">
        <v>85</v>
      </c>
      <c r="J20" s="2">
        <v>45327</v>
      </c>
      <c r="K20" s="25">
        <f t="shared" si="0"/>
        <v>3599.96</v>
      </c>
    </row>
    <row r="21" spans="1:11" ht="29.5" thickBot="1" x14ac:dyDescent="0.4">
      <c r="A21" s="1" t="s">
        <v>142</v>
      </c>
      <c r="B21" s="1" t="s">
        <v>69</v>
      </c>
      <c r="C21" s="1" t="s">
        <v>70</v>
      </c>
      <c r="D21" s="1" t="s">
        <v>28</v>
      </c>
      <c r="E21" s="3">
        <v>3</v>
      </c>
      <c r="F21" s="26">
        <v>249.99</v>
      </c>
      <c r="G21" s="1" t="s">
        <v>77</v>
      </c>
      <c r="H21" s="1" t="s">
        <v>89</v>
      </c>
      <c r="I21" s="1" t="s">
        <v>78</v>
      </c>
      <c r="J21" s="2">
        <v>45224</v>
      </c>
      <c r="K21" s="25">
        <f t="shared" si="0"/>
        <v>749.97</v>
      </c>
    </row>
    <row r="22" spans="1:11" ht="29.5" thickBot="1" x14ac:dyDescent="0.4">
      <c r="A22" s="1" t="s">
        <v>145</v>
      </c>
      <c r="B22" s="1" t="s">
        <v>128</v>
      </c>
      <c r="C22" s="1" t="s">
        <v>129</v>
      </c>
      <c r="D22" s="1" t="s">
        <v>28</v>
      </c>
      <c r="E22" s="3">
        <v>5</v>
      </c>
      <c r="F22" s="26">
        <v>699.99</v>
      </c>
      <c r="G22" s="1" t="s">
        <v>71</v>
      </c>
      <c r="H22" s="1" t="s">
        <v>98</v>
      </c>
      <c r="I22" s="1" t="s">
        <v>73</v>
      </c>
      <c r="J22" s="2">
        <v>45167</v>
      </c>
      <c r="K22" s="25">
        <f t="shared" si="0"/>
        <v>3499.95</v>
      </c>
    </row>
    <row r="23" spans="1:11" ht="29.5" thickBot="1" x14ac:dyDescent="0.4">
      <c r="A23" s="1" t="s">
        <v>148</v>
      </c>
      <c r="B23" s="1" t="s">
        <v>128</v>
      </c>
      <c r="C23" s="1" t="s">
        <v>129</v>
      </c>
      <c r="D23" s="1" t="s">
        <v>28</v>
      </c>
      <c r="E23" s="3">
        <v>4</v>
      </c>
      <c r="F23" s="26">
        <v>699.99</v>
      </c>
      <c r="G23" s="1" t="s">
        <v>71</v>
      </c>
      <c r="H23" s="1" t="s">
        <v>111</v>
      </c>
      <c r="I23" s="1" t="s">
        <v>85</v>
      </c>
      <c r="J23" s="2">
        <v>44409</v>
      </c>
      <c r="K23" s="25">
        <f t="shared" si="0"/>
        <v>2799.96</v>
      </c>
    </row>
    <row r="24" spans="1:11" ht="29.5" thickBot="1" x14ac:dyDescent="0.4">
      <c r="A24" s="1" t="s">
        <v>151</v>
      </c>
      <c r="B24" s="1" t="s">
        <v>69</v>
      </c>
      <c r="C24" s="1" t="s">
        <v>70</v>
      </c>
      <c r="D24" s="1" t="s">
        <v>28</v>
      </c>
      <c r="E24" s="3">
        <v>4</v>
      </c>
      <c r="F24" s="26">
        <v>249.99</v>
      </c>
      <c r="G24" s="1" t="s">
        <v>84</v>
      </c>
      <c r="H24" s="1" t="s">
        <v>89</v>
      </c>
      <c r="I24" s="1" t="s">
        <v>85</v>
      </c>
      <c r="J24" s="2">
        <v>44468</v>
      </c>
      <c r="K24" s="25">
        <f t="shared" si="0"/>
        <v>999.96</v>
      </c>
    </row>
    <row r="25" spans="1:11" ht="29.5" thickBot="1" x14ac:dyDescent="0.4">
      <c r="A25" s="1" t="s">
        <v>135</v>
      </c>
      <c r="B25" s="1" t="s">
        <v>153</v>
      </c>
      <c r="C25" s="1" t="s">
        <v>154</v>
      </c>
      <c r="D25" s="1" t="s">
        <v>29</v>
      </c>
      <c r="E25" s="3">
        <v>4</v>
      </c>
      <c r="F25" s="26">
        <v>299.99</v>
      </c>
      <c r="G25" s="1" t="s">
        <v>71</v>
      </c>
      <c r="H25" s="1" t="s">
        <v>98</v>
      </c>
      <c r="I25" s="1" t="s">
        <v>78</v>
      </c>
      <c r="J25" s="2">
        <v>44716</v>
      </c>
      <c r="K25" s="25">
        <f t="shared" si="0"/>
        <v>1199.96</v>
      </c>
    </row>
    <row r="26" spans="1:11" ht="29.5" thickBot="1" x14ac:dyDescent="0.4">
      <c r="A26" s="1" t="s">
        <v>157</v>
      </c>
      <c r="B26" s="1" t="s">
        <v>69</v>
      </c>
      <c r="C26" s="1" t="s">
        <v>70</v>
      </c>
      <c r="D26" s="1" t="s">
        <v>28</v>
      </c>
      <c r="E26" s="3">
        <v>5</v>
      </c>
      <c r="F26" s="26">
        <v>249.99</v>
      </c>
      <c r="G26" s="1" t="s">
        <v>77</v>
      </c>
      <c r="H26" s="1" t="s">
        <v>98</v>
      </c>
      <c r="I26" s="1" t="s">
        <v>85</v>
      </c>
      <c r="J26" s="2">
        <v>44525</v>
      </c>
      <c r="K26" s="25">
        <f t="shared" si="0"/>
        <v>1249.95</v>
      </c>
    </row>
    <row r="27" spans="1:11" ht="29.5" thickBot="1" x14ac:dyDescent="0.4">
      <c r="A27" s="1" t="s">
        <v>117</v>
      </c>
      <c r="B27" s="1" t="s">
        <v>153</v>
      </c>
      <c r="C27" s="1" t="s">
        <v>154</v>
      </c>
      <c r="D27" s="1" t="s">
        <v>29</v>
      </c>
      <c r="E27" s="3">
        <v>5</v>
      </c>
      <c r="F27" s="26">
        <v>299.99</v>
      </c>
      <c r="G27" s="1" t="s">
        <v>84</v>
      </c>
      <c r="H27" s="1" t="s">
        <v>111</v>
      </c>
      <c r="I27" s="1" t="s">
        <v>73</v>
      </c>
      <c r="J27" s="2">
        <v>45168</v>
      </c>
      <c r="K27" s="25">
        <f t="shared" si="0"/>
        <v>1499.95</v>
      </c>
    </row>
    <row r="28" spans="1:11" ht="29.5" thickBot="1" x14ac:dyDescent="0.4">
      <c r="A28" s="1" t="s">
        <v>161</v>
      </c>
      <c r="B28" s="1" t="s">
        <v>162</v>
      </c>
      <c r="C28" s="1" t="s">
        <v>163</v>
      </c>
      <c r="D28" s="1" t="s">
        <v>27</v>
      </c>
      <c r="E28" s="3">
        <v>3</v>
      </c>
      <c r="F28" s="26">
        <v>79.989999999999995</v>
      </c>
      <c r="G28" s="1" t="s">
        <v>84</v>
      </c>
      <c r="H28" s="1" t="s">
        <v>111</v>
      </c>
      <c r="I28" s="1" t="s">
        <v>78</v>
      </c>
      <c r="J28" s="2">
        <v>45012</v>
      </c>
      <c r="K28" s="25">
        <f t="shared" si="0"/>
        <v>239.96999999999997</v>
      </c>
    </row>
    <row r="29" spans="1:11" ht="29.5" thickBot="1" x14ac:dyDescent="0.4">
      <c r="A29" s="1" t="s">
        <v>148</v>
      </c>
      <c r="B29" s="1" t="s">
        <v>165</v>
      </c>
      <c r="C29" s="1" t="s">
        <v>166</v>
      </c>
      <c r="D29" s="1" t="s">
        <v>28</v>
      </c>
      <c r="E29" s="3">
        <v>5</v>
      </c>
      <c r="F29" s="26">
        <v>89.99</v>
      </c>
      <c r="G29" s="1" t="s">
        <v>71</v>
      </c>
      <c r="H29" s="1" t="s">
        <v>89</v>
      </c>
      <c r="I29" s="1" t="s">
        <v>78</v>
      </c>
      <c r="J29" s="2">
        <v>44919</v>
      </c>
      <c r="K29" s="25">
        <f t="shared" si="0"/>
        <v>449.95</v>
      </c>
    </row>
    <row r="30" spans="1:11" ht="29.5" thickBot="1" x14ac:dyDescent="0.4">
      <c r="A30" s="1" t="s">
        <v>169</v>
      </c>
      <c r="B30" s="1" t="s">
        <v>82</v>
      </c>
      <c r="C30" s="1" t="s">
        <v>83</v>
      </c>
      <c r="D30" s="1" t="s">
        <v>27</v>
      </c>
      <c r="E30" s="3">
        <v>2</v>
      </c>
      <c r="F30" s="26">
        <v>59.99</v>
      </c>
      <c r="G30" s="1" t="s">
        <v>105</v>
      </c>
      <c r="H30" s="1" t="s">
        <v>72</v>
      </c>
      <c r="I30" s="1" t="s">
        <v>85</v>
      </c>
      <c r="J30" s="2">
        <v>45214</v>
      </c>
      <c r="K30" s="25">
        <f t="shared" si="0"/>
        <v>119.98</v>
      </c>
    </row>
    <row r="31" spans="1:11" ht="29.5" thickBot="1" x14ac:dyDescent="0.4">
      <c r="A31" s="1" t="s">
        <v>172</v>
      </c>
      <c r="B31" s="1" t="s">
        <v>82</v>
      </c>
      <c r="C31" s="1" t="s">
        <v>83</v>
      </c>
      <c r="D31" s="1" t="s">
        <v>27</v>
      </c>
      <c r="E31" s="3">
        <v>4</v>
      </c>
      <c r="F31" s="26">
        <v>59.99</v>
      </c>
      <c r="G31" s="1" t="s">
        <v>105</v>
      </c>
      <c r="H31" s="1" t="s">
        <v>111</v>
      </c>
      <c r="I31" s="1" t="s">
        <v>85</v>
      </c>
      <c r="J31" s="2">
        <v>44867</v>
      </c>
      <c r="K31" s="25">
        <f t="shared" si="0"/>
        <v>239.96</v>
      </c>
    </row>
    <row r="32" spans="1:11" ht="29.5" thickBot="1" x14ac:dyDescent="0.4">
      <c r="A32" s="1" t="s">
        <v>104</v>
      </c>
      <c r="B32" s="1" t="s">
        <v>174</v>
      </c>
      <c r="C32" s="1" t="s">
        <v>175</v>
      </c>
      <c r="D32" s="1" t="s">
        <v>29</v>
      </c>
      <c r="E32" s="3">
        <v>5</v>
      </c>
      <c r="F32" s="26">
        <v>199.99</v>
      </c>
      <c r="G32" s="1" t="s">
        <v>71</v>
      </c>
      <c r="H32" s="1" t="s">
        <v>52</v>
      </c>
      <c r="I32" s="1" t="s">
        <v>85</v>
      </c>
      <c r="J32" s="2">
        <v>44412</v>
      </c>
      <c r="K32" s="25">
        <f t="shared" si="0"/>
        <v>999.95</v>
      </c>
    </row>
    <row r="33" spans="1:11" ht="44" thickBot="1" x14ac:dyDescent="0.4">
      <c r="A33" s="1" t="s">
        <v>178</v>
      </c>
      <c r="B33" s="1" t="s">
        <v>93</v>
      </c>
      <c r="C33" s="1" t="s">
        <v>94</v>
      </c>
      <c r="D33" s="1" t="s">
        <v>29</v>
      </c>
      <c r="E33" s="3">
        <v>2</v>
      </c>
      <c r="F33" s="26">
        <v>149.99</v>
      </c>
      <c r="G33" s="1" t="s">
        <v>77</v>
      </c>
      <c r="H33" s="1" t="s">
        <v>98</v>
      </c>
      <c r="I33" s="1" t="s">
        <v>73</v>
      </c>
      <c r="J33" s="2">
        <v>44823</v>
      </c>
      <c r="K33" s="25">
        <f t="shared" si="0"/>
        <v>299.98</v>
      </c>
    </row>
    <row r="34" spans="1:11" ht="29.5" thickBot="1" x14ac:dyDescent="0.4">
      <c r="A34" s="1" t="s">
        <v>181</v>
      </c>
      <c r="B34" s="1" t="s">
        <v>93</v>
      </c>
      <c r="C34" s="1" t="s">
        <v>94</v>
      </c>
      <c r="D34" s="1" t="s">
        <v>29</v>
      </c>
      <c r="E34" s="3">
        <v>3</v>
      </c>
      <c r="F34" s="26">
        <v>149.99</v>
      </c>
      <c r="G34" s="1" t="s">
        <v>77</v>
      </c>
      <c r="H34" s="1" t="s">
        <v>98</v>
      </c>
      <c r="I34" s="1" t="s">
        <v>78</v>
      </c>
      <c r="J34" s="2">
        <v>45068</v>
      </c>
      <c r="K34" s="25">
        <f t="shared" si="0"/>
        <v>449.97</v>
      </c>
    </row>
    <row r="35" spans="1:11" ht="29.5" thickBot="1" x14ac:dyDescent="0.4">
      <c r="A35" s="1" t="s">
        <v>81</v>
      </c>
      <c r="B35" s="1" t="s">
        <v>109</v>
      </c>
      <c r="C35" s="1" t="s">
        <v>110</v>
      </c>
      <c r="D35" s="1" t="s">
        <v>28</v>
      </c>
      <c r="E35" s="3">
        <v>1</v>
      </c>
      <c r="F35" s="26">
        <v>899.99</v>
      </c>
      <c r="G35" s="1" t="s">
        <v>77</v>
      </c>
      <c r="H35" s="1" t="s">
        <v>98</v>
      </c>
      <c r="I35" s="1" t="s">
        <v>78</v>
      </c>
      <c r="J35" s="2">
        <v>44578</v>
      </c>
      <c r="K35" s="25">
        <f t="shared" si="0"/>
        <v>899.99</v>
      </c>
    </row>
    <row r="36" spans="1:11" ht="29.5" thickBot="1" x14ac:dyDescent="0.4">
      <c r="A36" s="1" t="s">
        <v>148</v>
      </c>
      <c r="B36" s="1" t="s">
        <v>153</v>
      </c>
      <c r="C36" s="1" t="s">
        <v>154</v>
      </c>
      <c r="D36" s="1" t="s">
        <v>29</v>
      </c>
      <c r="E36" s="3">
        <v>3</v>
      </c>
      <c r="F36" s="26">
        <v>299.99</v>
      </c>
      <c r="G36" s="1" t="s">
        <v>77</v>
      </c>
      <c r="H36" s="1" t="s">
        <v>111</v>
      </c>
      <c r="I36" s="1" t="s">
        <v>73</v>
      </c>
      <c r="J36" s="2">
        <v>44824</v>
      </c>
      <c r="K36" s="25">
        <f t="shared" si="0"/>
        <v>899.97</v>
      </c>
    </row>
    <row r="37" spans="1:11" ht="44" thickBot="1" x14ac:dyDescent="0.4">
      <c r="A37" s="1" t="s">
        <v>178</v>
      </c>
      <c r="B37" s="1" t="s">
        <v>162</v>
      </c>
      <c r="C37" s="1" t="s">
        <v>163</v>
      </c>
      <c r="D37" s="1" t="s">
        <v>27</v>
      </c>
      <c r="E37" s="3">
        <v>3</v>
      </c>
      <c r="F37" s="26">
        <v>79.989999999999995</v>
      </c>
      <c r="G37" s="1" t="s">
        <v>71</v>
      </c>
      <c r="H37" s="1" t="s">
        <v>52</v>
      </c>
      <c r="I37" s="1" t="s">
        <v>73</v>
      </c>
      <c r="J37" s="2">
        <v>45046</v>
      </c>
      <c r="K37" s="25">
        <f t="shared" si="0"/>
        <v>239.96999999999997</v>
      </c>
    </row>
    <row r="38" spans="1:11" ht="29.5" thickBot="1" x14ac:dyDescent="0.4">
      <c r="A38" s="1" t="s">
        <v>187</v>
      </c>
      <c r="B38" s="1" t="s">
        <v>174</v>
      </c>
      <c r="C38" s="1" t="s">
        <v>175</v>
      </c>
      <c r="D38" s="1" t="s">
        <v>29</v>
      </c>
      <c r="E38" s="3">
        <v>3</v>
      </c>
      <c r="F38" s="26">
        <v>199.99</v>
      </c>
      <c r="G38" s="1" t="s">
        <v>77</v>
      </c>
      <c r="H38" s="1" t="s">
        <v>89</v>
      </c>
      <c r="I38" s="1" t="s">
        <v>78</v>
      </c>
      <c r="J38" s="2">
        <v>45292</v>
      </c>
      <c r="K38" s="25">
        <f t="shared" si="0"/>
        <v>599.97</v>
      </c>
    </row>
    <row r="39" spans="1:11" ht="29.5" thickBot="1" x14ac:dyDescent="0.4">
      <c r="A39" s="1" t="s">
        <v>190</v>
      </c>
      <c r="B39" s="1" t="s">
        <v>128</v>
      </c>
      <c r="C39" s="1" t="s">
        <v>129</v>
      </c>
      <c r="D39" s="1" t="s">
        <v>28</v>
      </c>
      <c r="E39" s="3">
        <v>5</v>
      </c>
      <c r="F39" s="26">
        <v>699.99</v>
      </c>
      <c r="G39" s="1" t="s">
        <v>84</v>
      </c>
      <c r="H39" s="1" t="s">
        <v>98</v>
      </c>
      <c r="I39" s="1" t="s">
        <v>85</v>
      </c>
      <c r="J39" s="2">
        <v>44407</v>
      </c>
      <c r="K39" s="25">
        <f t="shared" si="0"/>
        <v>3499.95</v>
      </c>
    </row>
    <row r="40" spans="1:11" ht="29.5" thickBot="1" x14ac:dyDescent="0.4">
      <c r="A40" s="1" t="s">
        <v>193</v>
      </c>
      <c r="B40" s="1" t="s">
        <v>165</v>
      </c>
      <c r="C40" s="1" t="s">
        <v>166</v>
      </c>
      <c r="D40" s="1" t="s">
        <v>28</v>
      </c>
      <c r="E40" s="3">
        <v>3</v>
      </c>
      <c r="F40" s="26">
        <v>89.99</v>
      </c>
      <c r="G40" s="1" t="s">
        <v>84</v>
      </c>
      <c r="H40" s="1" t="s">
        <v>72</v>
      </c>
      <c r="I40" s="1" t="s">
        <v>78</v>
      </c>
      <c r="J40" s="2">
        <v>45120</v>
      </c>
      <c r="K40" s="25">
        <f t="shared" si="0"/>
        <v>269.96999999999997</v>
      </c>
    </row>
    <row r="41" spans="1:11" ht="29.5" thickBot="1" x14ac:dyDescent="0.4">
      <c r="A41" s="1" t="s">
        <v>196</v>
      </c>
      <c r="B41" s="1" t="s">
        <v>162</v>
      </c>
      <c r="C41" s="1" t="s">
        <v>163</v>
      </c>
      <c r="D41" s="1" t="s">
        <v>27</v>
      </c>
      <c r="E41" s="3">
        <v>1</v>
      </c>
      <c r="F41" s="26">
        <v>79.989999999999995</v>
      </c>
      <c r="G41" s="1" t="s">
        <v>71</v>
      </c>
      <c r="H41" s="1" t="s">
        <v>89</v>
      </c>
      <c r="I41" s="1" t="s">
        <v>85</v>
      </c>
      <c r="J41" s="2">
        <v>44917</v>
      </c>
      <c r="K41" s="25">
        <f t="shared" si="0"/>
        <v>79.989999999999995</v>
      </c>
    </row>
    <row r="42" spans="1:11" ht="29.5" thickBot="1" x14ac:dyDescent="0.4">
      <c r="A42" s="1" t="s">
        <v>199</v>
      </c>
      <c r="B42" s="1" t="s">
        <v>82</v>
      </c>
      <c r="C42" s="1" t="s">
        <v>83</v>
      </c>
      <c r="D42" s="1" t="s">
        <v>27</v>
      </c>
      <c r="E42" s="3">
        <v>2</v>
      </c>
      <c r="F42" s="26">
        <v>59.99</v>
      </c>
      <c r="G42" s="1" t="s">
        <v>71</v>
      </c>
      <c r="H42" s="1" t="s">
        <v>98</v>
      </c>
      <c r="I42" s="1" t="s">
        <v>73</v>
      </c>
      <c r="J42" s="2">
        <v>45390</v>
      </c>
      <c r="K42" s="25">
        <f t="shared" si="0"/>
        <v>119.98</v>
      </c>
    </row>
    <row r="43" spans="1:11" ht="29.5" thickBot="1" x14ac:dyDescent="0.4">
      <c r="A43" s="1" t="s">
        <v>104</v>
      </c>
      <c r="B43" s="1" t="s">
        <v>165</v>
      </c>
      <c r="C43" s="1" t="s">
        <v>166</v>
      </c>
      <c r="D43" s="1" t="s">
        <v>28</v>
      </c>
      <c r="E43" s="3">
        <v>1</v>
      </c>
      <c r="F43" s="26">
        <v>89.99</v>
      </c>
      <c r="G43" s="1" t="s">
        <v>71</v>
      </c>
      <c r="H43" s="1" t="s">
        <v>89</v>
      </c>
      <c r="I43" s="1" t="s">
        <v>73</v>
      </c>
      <c r="J43" s="2">
        <v>45141</v>
      </c>
      <c r="K43" s="25">
        <f t="shared" si="0"/>
        <v>89.99</v>
      </c>
    </row>
    <row r="44" spans="1:11" ht="29.5" thickBot="1" x14ac:dyDescent="0.4">
      <c r="A44" s="1" t="s">
        <v>203</v>
      </c>
      <c r="B44" s="1" t="s">
        <v>165</v>
      </c>
      <c r="C44" s="1" t="s">
        <v>166</v>
      </c>
      <c r="D44" s="1" t="s">
        <v>28</v>
      </c>
      <c r="E44" s="3">
        <v>5</v>
      </c>
      <c r="F44" s="26">
        <v>89.99</v>
      </c>
      <c r="G44" s="1" t="s">
        <v>77</v>
      </c>
      <c r="H44" s="1" t="s">
        <v>111</v>
      </c>
      <c r="I44" s="1" t="s">
        <v>85</v>
      </c>
      <c r="J44" s="2">
        <v>44587</v>
      </c>
      <c r="K44" s="25">
        <f t="shared" si="0"/>
        <v>449.95</v>
      </c>
    </row>
    <row r="45" spans="1:11" ht="29.5" thickBot="1" x14ac:dyDescent="0.4">
      <c r="A45" s="1" t="s">
        <v>76</v>
      </c>
      <c r="B45" s="1" t="s">
        <v>69</v>
      </c>
      <c r="C45" s="1" t="s">
        <v>70</v>
      </c>
      <c r="D45" s="1" t="s">
        <v>28</v>
      </c>
      <c r="E45" s="3">
        <v>5</v>
      </c>
      <c r="F45" s="26">
        <v>249.99</v>
      </c>
      <c r="G45" s="1" t="s">
        <v>77</v>
      </c>
      <c r="H45" s="1" t="s">
        <v>111</v>
      </c>
      <c r="I45" s="1" t="s">
        <v>85</v>
      </c>
      <c r="J45" s="2">
        <v>44707</v>
      </c>
      <c r="K45" s="25">
        <f t="shared" si="0"/>
        <v>1249.95</v>
      </c>
    </row>
    <row r="46" spans="1:11" ht="29.5" thickBot="1" x14ac:dyDescent="0.4">
      <c r="A46" s="1" t="s">
        <v>207</v>
      </c>
      <c r="B46" s="1" t="s">
        <v>165</v>
      </c>
      <c r="C46" s="1" t="s">
        <v>166</v>
      </c>
      <c r="D46" s="1" t="s">
        <v>28</v>
      </c>
      <c r="E46" s="3">
        <v>1</v>
      </c>
      <c r="F46" s="26">
        <v>89.99</v>
      </c>
      <c r="G46" s="1" t="s">
        <v>77</v>
      </c>
      <c r="H46" s="1" t="s">
        <v>52</v>
      </c>
      <c r="I46" s="1" t="s">
        <v>85</v>
      </c>
      <c r="J46" s="2">
        <v>44582</v>
      </c>
      <c r="K46" s="25">
        <f t="shared" si="0"/>
        <v>89.99</v>
      </c>
    </row>
    <row r="47" spans="1:11" ht="29.5" thickBot="1" x14ac:dyDescent="0.4">
      <c r="A47" s="1" t="s">
        <v>92</v>
      </c>
      <c r="B47" s="1" t="s">
        <v>93</v>
      </c>
      <c r="C47" s="1" t="s">
        <v>94</v>
      </c>
      <c r="D47" s="1" t="s">
        <v>29</v>
      </c>
      <c r="E47" s="3">
        <v>2</v>
      </c>
      <c r="F47" s="26">
        <v>149.99</v>
      </c>
      <c r="G47" s="1" t="s">
        <v>71</v>
      </c>
      <c r="H47" s="1" t="s">
        <v>111</v>
      </c>
      <c r="I47" s="1" t="s">
        <v>78</v>
      </c>
      <c r="J47" s="2">
        <v>44645</v>
      </c>
      <c r="K47" s="25">
        <f t="shared" si="0"/>
        <v>299.98</v>
      </c>
    </row>
    <row r="48" spans="1:11" ht="29.5" thickBot="1" x14ac:dyDescent="0.4">
      <c r="A48" s="1" t="s">
        <v>211</v>
      </c>
      <c r="B48" s="1" t="s">
        <v>82</v>
      </c>
      <c r="C48" s="1" t="s">
        <v>83</v>
      </c>
      <c r="D48" s="1" t="s">
        <v>27</v>
      </c>
      <c r="E48" s="3">
        <v>4</v>
      </c>
      <c r="F48" s="26">
        <v>59.99</v>
      </c>
      <c r="G48" s="1" t="s">
        <v>71</v>
      </c>
      <c r="H48" s="1" t="s">
        <v>111</v>
      </c>
      <c r="I48" s="1" t="s">
        <v>85</v>
      </c>
      <c r="J48" s="2">
        <v>44435</v>
      </c>
      <c r="K48" s="25">
        <f t="shared" si="0"/>
        <v>239.96</v>
      </c>
    </row>
    <row r="49" spans="1:11" ht="44" thickBot="1" x14ac:dyDescent="0.4">
      <c r="A49" s="1" t="s">
        <v>178</v>
      </c>
      <c r="B49" s="1" t="s">
        <v>165</v>
      </c>
      <c r="C49" s="1" t="s">
        <v>166</v>
      </c>
      <c r="D49" s="1" t="s">
        <v>28</v>
      </c>
      <c r="E49" s="3">
        <v>5</v>
      </c>
      <c r="F49" s="26">
        <v>89.99</v>
      </c>
      <c r="G49" s="1" t="s">
        <v>71</v>
      </c>
      <c r="H49" s="1" t="s">
        <v>72</v>
      </c>
      <c r="I49" s="1" t="s">
        <v>78</v>
      </c>
      <c r="J49" s="2">
        <v>44579</v>
      </c>
      <c r="K49" s="25">
        <f t="shared" si="0"/>
        <v>449.95</v>
      </c>
    </row>
    <row r="50" spans="1:11" ht="29.5" thickBot="1" x14ac:dyDescent="0.4">
      <c r="A50" s="1" t="s">
        <v>148</v>
      </c>
      <c r="B50" s="1" t="s">
        <v>165</v>
      </c>
      <c r="C50" s="1" t="s">
        <v>166</v>
      </c>
      <c r="D50" s="1" t="s">
        <v>28</v>
      </c>
      <c r="E50" s="3">
        <v>2</v>
      </c>
      <c r="F50" s="26">
        <v>89.99</v>
      </c>
      <c r="G50" s="1" t="s">
        <v>77</v>
      </c>
      <c r="H50" s="1" t="s">
        <v>52</v>
      </c>
      <c r="I50" s="1" t="s">
        <v>78</v>
      </c>
      <c r="J50" s="2">
        <v>44471</v>
      </c>
      <c r="K50" s="25">
        <f t="shared" si="0"/>
        <v>179.98</v>
      </c>
    </row>
    <row r="51" spans="1:11" ht="29.5" thickBot="1" x14ac:dyDescent="0.4">
      <c r="A51" s="1" t="s">
        <v>68</v>
      </c>
      <c r="B51" s="1" t="s">
        <v>109</v>
      </c>
      <c r="C51" s="1" t="s">
        <v>110</v>
      </c>
      <c r="D51" s="1" t="s">
        <v>28</v>
      </c>
      <c r="E51" s="3">
        <v>5</v>
      </c>
      <c r="F51" s="26">
        <v>899.99</v>
      </c>
      <c r="G51" s="1" t="s">
        <v>77</v>
      </c>
      <c r="H51" s="1" t="s">
        <v>52</v>
      </c>
      <c r="I51" s="1" t="s">
        <v>85</v>
      </c>
      <c r="J51" s="2">
        <v>44974</v>
      </c>
      <c r="K51" s="25">
        <f t="shared" si="0"/>
        <v>4499.95</v>
      </c>
    </row>
    <row r="52" spans="1:11" ht="29.5" thickBot="1" x14ac:dyDescent="0.4">
      <c r="A52" s="1" t="s">
        <v>172</v>
      </c>
      <c r="B52" s="1" t="s">
        <v>109</v>
      </c>
      <c r="C52" s="1" t="s">
        <v>110</v>
      </c>
      <c r="D52" s="1" t="s">
        <v>28</v>
      </c>
      <c r="E52" s="3">
        <v>5</v>
      </c>
      <c r="F52" s="26">
        <v>899.99</v>
      </c>
      <c r="G52" s="1" t="s">
        <v>84</v>
      </c>
      <c r="H52" s="1" t="s">
        <v>111</v>
      </c>
      <c r="I52" s="1" t="s">
        <v>78</v>
      </c>
      <c r="J52" s="2">
        <v>45278</v>
      </c>
      <c r="K52" s="25">
        <f t="shared" si="0"/>
        <v>4499.95</v>
      </c>
    </row>
    <row r="53" spans="1:11" ht="29.5" thickBot="1" x14ac:dyDescent="0.4">
      <c r="A53" s="1" t="s">
        <v>207</v>
      </c>
      <c r="B53" s="1" t="s">
        <v>82</v>
      </c>
      <c r="C53" s="1" t="s">
        <v>83</v>
      </c>
      <c r="D53" s="1" t="s">
        <v>27</v>
      </c>
      <c r="E53" s="3">
        <v>1</v>
      </c>
      <c r="F53" s="26">
        <v>59.99</v>
      </c>
      <c r="G53" s="1" t="s">
        <v>105</v>
      </c>
      <c r="H53" s="1" t="s">
        <v>98</v>
      </c>
      <c r="I53" s="1" t="s">
        <v>78</v>
      </c>
      <c r="J53" s="2">
        <v>45190</v>
      </c>
      <c r="K53" s="25">
        <f t="shared" si="0"/>
        <v>59.99</v>
      </c>
    </row>
    <row r="54" spans="1:11" ht="29.5" thickBot="1" x14ac:dyDescent="0.4">
      <c r="A54" s="1" t="s">
        <v>190</v>
      </c>
      <c r="B54" s="1" t="s">
        <v>153</v>
      </c>
      <c r="C54" s="1" t="s">
        <v>154</v>
      </c>
      <c r="D54" s="1" t="s">
        <v>29</v>
      </c>
      <c r="E54" s="3">
        <v>2</v>
      </c>
      <c r="F54" s="26">
        <v>299.99</v>
      </c>
      <c r="G54" s="1" t="s">
        <v>105</v>
      </c>
      <c r="H54" s="1" t="s">
        <v>111</v>
      </c>
      <c r="I54" s="1" t="s">
        <v>85</v>
      </c>
      <c r="J54" s="2">
        <v>45253</v>
      </c>
      <c r="K54" s="25">
        <f t="shared" si="0"/>
        <v>599.98</v>
      </c>
    </row>
    <row r="55" spans="1:11" ht="29.5" thickBot="1" x14ac:dyDescent="0.4">
      <c r="A55" s="1" t="s">
        <v>220</v>
      </c>
      <c r="B55" s="1" t="s">
        <v>165</v>
      </c>
      <c r="C55" s="1" t="s">
        <v>166</v>
      </c>
      <c r="D55" s="1" t="s">
        <v>28</v>
      </c>
      <c r="E55" s="3">
        <v>4</v>
      </c>
      <c r="F55" s="26">
        <v>89.99</v>
      </c>
      <c r="G55" s="1" t="s">
        <v>105</v>
      </c>
      <c r="H55" s="1" t="s">
        <v>52</v>
      </c>
      <c r="I55" s="1" t="s">
        <v>73</v>
      </c>
      <c r="J55" s="2">
        <v>45281</v>
      </c>
      <c r="K55" s="25">
        <f t="shared" si="0"/>
        <v>359.96</v>
      </c>
    </row>
    <row r="56" spans="1:11" ht="29.5" thickBot="1" x14ac:dyDescent="0.4">
      <c r="A56" s="1" t="s">
        <v>81</v>
      </c>
      <c r="B56" s="1" t="s">
        <v>162</v>
      </c>
      <c r="C56" s="1" t="s">
        <v>163</v>
      </c>
      <c r="D56" s="1" t="s">
        <v>27</v>
      </c>
      <c r="E56" s="3">
        <v>1</v>
      </c>
      <c r="F56" s="26">
        <v>79.989999999999995</v>
      </c>
      <c r="G56" s="1" t="s">
        <v>84</v>
      </c>
      <c r="H56" s="1" t="s">
        <v>72</v>
      </c>
      <c r="I56" s="1" t="s">
        <v>78</v>
      </c>
      <c r="J56" s="2">
        <v>45352</v>
      </c>
      <c r="K56" s="25">
        <f t="shared" si="0"/>
        <v>79.989999999999995</v>
      </c>
    </row>
    <row r="57" spans="1:11" ht="29.5" thickBot="1" x14ac:dyDescent="0.4">
      <c r="A57" s="1" t="s">
        <v>108</v>
      </c>
      <c r="B57" s="1" t="s">
        <v>165</v>
      </c>
      <c r="C57" s="1" t="s">
        <v>166</v>
      </c>
      <c r="D57" s="1" t="s">
        <v>28</v>
      </c>
      <c r="E57" s="3">
        <v>2</v>
      </c>
      <c r="F57" s="26">
        <v>89.99</v>
      </c>
      <c r="G57" s="1" t="s">
        <v>71</v>
      </c>
      <c r="H57" s="1" t="s">
        <v>98</v>
      </c>
      <c r="I57" s="1" t="s">
        <v>73</v>
      </c>
      <c r="J57" s="2">
        <v>44438</v>
      </c>
      <c r="K57" s="25">
        <f t="shared" si="0"/>
        <v>179.98</v>
      </c>
    </row>
    <row r="58" spans="1:11" ht="29.5" thickBot="1" x14ac:dyDescent="0.4">
      <c r="A58" s="1" t="s">
        <v>88</v>
      </c>
      <c r="B58" s="1" t="s">
        <v>128</v>
      </c>
      <c r="C58" s="1" t="s">
        <v>129</v>
      </c>
      <c r="D58" s="1" t="s">
        <v>28</v>
      </c>
      <c r="E58" s="3">
        <v>3</v>
      </c>
      <c r="F58" s="26">
        <v>699.99</v>
      </c>
      <c r="G58" s="1" t="s">
        <v>77</v>
      </c>
      <c r="H58" s="1" t="s">
        <v>111</v>
      </c>
      <c r="I58" s="1" t="s">
        <v>78</v>
      </c>
      <c r="J58" s="2">
        <v>45102</v>
      </c>
      <c r="K58" s="25">
        <f t="shared" si="0"/>
        <v>2099.9700000000003</v>
      </c>
    </row>
    <row r="59" spans="1:11" ht="29.5" thickBot="1" x14ac:dyDescent="0.4">
      <c r="A59" s="1" t="s">
        <v>148</v>
      </c>
      <c r="B59" s="1" t="s">
        <v>109</v>
      </c>
      <c r="C59" s="1" t="s">
        <v>110</v>
      </c>
      <c r="D59" s="1" t="s">
        <v>28</v>
      </c>
      <c r="E59" s="3">
        <v>4</v>
      </c>
      <c r="F59" s="26">
        <v>899.99</v>
      </c>
      <c r="G59" s="1" t="s">
        <v>77</v>
      </c>
      <c r="H59" s="1" t="s">
        <v>111</v>
      </c>
      <c r="I59" s="1" t="s">
        <v>78</v>
      </c>
      <c r="J59" s="2">
        <v>44993</v>
      </c>
      <c r="K59" s="25">
        <f t="shared" si="0"/>
        <v>3599.96</v>
      </c>
    </row>
    <row r="60" spans="1:11" ht="29.5" thickBot="1" x14ac:dyDescent="0.4">
      <c r="A60" s="1" t="s">
        <v>169</v>
      </c>
      <c r="B60" s="1" t="s">
        <v>93</v>
      </c>
      <c r="C60" s="1" t="s">
        <v>94</v>
      </c>
      <c r="D60" s="1" t="s">
        <v>29</v>
      </c>
      <c r="E60" s="3">
        <v>1</v>
      </c>
      <c r="F60" s="26">
        <v>149.99</v>
      </c>
      <c r="G60" s="1" t="s">
        <v>84</v>
      </c>
      <c r="H60" s="1" t="s">
        <v>111</v>
      </c>
      <c r="I60" s="1" t="s">
        <v>73</v>
      </c>
      <c r="J60" s="2">
        <v>44851</v>
      </c>
      <c r="K60" s="25">
        <f t="shared" si="0"/>
        <v>149.99</v>
      </c>
    </row>
    <row r="61" spans="1:11" ht="29.5" thickBot="1" x14ac:dyDescent="0.4">
      <c r="A61" s="1" t="s">
        <v>181</v>
      </c>
      <c r="B61" s="1" t="s">
        <v>165</v>
      </c>
      <c r="C61" s="1" t="s">
        <v>166</v>
      </c>
      <c r="D61" s="1" t="s">
        <v>28</v>
      </c>
      <c r="E61" s="3">
        <v>2</v>
      </c>
      <c r="F61" s="26">
        <v>89.99</v>
      </c>
      <c r="G61" s="1" t="s">
        <v>84</v>
      </c>
      <c r="H61" s="1" t="s">
        <v>72</v>
      </c>
      <c r="I61" s="1" t="s">
        <v>78</v>
      </c>
      <c r="J61" s="2">
        <v>45275</v>
      </c>
      <c r="K61" s="25">
        <f t="shared" si="0"/>
        <v>179.98</v>
      </c>
    </row>
    <row r="62" spans="1:11" ht="29.5" thickBot="1" x14ac:dyDescent="0.4">
      <c r="A62" s="1" t="s">
        <v>104</v>
      </c>
      <c r="B62" s="1" t="s">
        <v>165</v>
      </c>
      <c r="C62" s="1" t="s">
        <v>166</v>
      </c>
      <c r="D62" s="1" t="s">
        <v>28</v>
      </c>
      <c r="E62" s="3">
        <v>1</v>
      </c>
      <c r="F62" s="26">
        <v>89.99</v>
      </c>
      <c r="G62" s="1" t="s">
        <v>84</v>
      </c>
      <c r="H62" s="1" t="s">
        <v>98</v>
      </c>
      <c r="I62" s="1" t="s">
        <v>85</v>
      </c>
      <c r="J62" s="2">
        <v>44802</v>
      </c>
      <c r="K62" s="25">
        <f t="shared" si="0"/>
        <v>89.99</v>
      </c>
    </row>
    <row r="63" spans="1:11" ht="29.5" thickBot="1" x14ac:dyDescent="0.4">
      <c r="A63" s="1" t="s">
        <v>117</v>
      </c>
      <c r="B63" s="1" t="s">
        <v>165</v>
      </c>
      <c r="C63" s="1" t="s">
        <v>166</v>
      </c>
      <c r="D63" s="1" t="s">
        <v>28</v>
      </c>
      <c r="E63" s="3">
        <v>1</v>
      </c>
      <c r="F63" s="26">
        <v>89.99</v>
      </c>
      <c r="G63" s="1" t="s">
        <v>71</v>
      </c>
      <c r="H63" s="1" t="s">
        <v>52</v>
      </c>
      <c r="I63" s="1" t="s">
        <v>85</v>
      </c>
      <c r="J63" s="2">
        <v>44611</v>
      </c>
      <c r="K63" s="25">
        <f t="shared" si="0"/>
        <v>89.99</v>
      </c>
    </row>
    <row r="64" spans="1:11" ht="29.5" thickBot="1" x14ac:dyDescent="0.4">
      <c r="A64" s="1" t="s">
        <v>231</v>
      </c>
      <c r="B64" s="1" t="s">
        <v>162</v>
      </c>
      <c r="C64" s="1" t="s">
        <v>163</v>
      </c>
      <c r="D64" s="1" t="s">
        <v>27</v>
      </c>
      <c r="E64" s="3">
        <v>5</v>
      </c>
      <c r="F64" s="26">
        <v>79.989999999999995</v>
      </c>
      <c r="G64" s="1" t="s">
        <v>105</v>
      </c>
      <c r="H64" s="1" t="s">
        <v>72</v>
      </c>
      <c r="I64" s="1" t="s">
        <v>73</v>
      </c>
      <c r="J64" s="2">
        <v>44981</v>
      </c>
      <c r="K64" s="25">
        <f t="shared" si="0"/>
        <v>399.95</v>
      </c>
    </row>
    <row r="65" spans="1:11" ht="29.5" thickBot="1" x14ac:dyDescent="0.4">
      <c r="A65" s="1" t="s">
        <v>234</v>
      </c>
      <c r="B65" s="1" t="s">
        <v>93</v>
      </c>
      <c r="C65" s="1" t="s">
        <v>94</v>
      </c>
      <c r="D65" s="1" t="s">
        <v>29</v>
      </c>
      <c r="E65" s="3">
        <v>1</v>
      </c>
      <c r="F65" s="26">
        <v>149.99</v>
      </c>
      <c r="G65" s="1" t="s">
        <v>84</v>
      </c>
      <c r="H65" s="1" t="s">
        <v>89</v>
      </c>
      <c r="I65" s="1" t="s">
        <v>73</v>
      </c>
      <c r="J65" s="2">
        <v>44421</v>
      </c>
      <c r="K65" s="25">
        <f t="shared" si="0"/>
        <v>149.99</v>
      </c>
    </row>
    <row r="66" spans="1:11" ht="29.5" thickBot="1" x14ac:dyDescent="0.4">
      <c r="A66" s="1" t="s">
        <v>92</v>
      </c>
      <c r="B66" s="1" t="s">
        <v>128</v>
      </c>
      <c r="C66" s="1" t="s">
        <v>129</v>
      </c>
      <c r="D66" s="1" t="s">
        <v>28</v>
      </c>
      <c r="E66" s="3">
        <v>2</v>
      </c>
      <c r="F66" s="26">
        <v>699.99</v>
      </c>
      <c r="G66" s="1" t="s">
        <v>84</v>
      </c>
      <c r="H66" s="1" t="s">
        <v>111</v>
      </c>
      <c r="I66" s="1" t="s">
        <v>78</v>
      </c>
      <c r="J66" s="2">
        <v>45389</v>
      </c>
      <c r="K66" s="25">
        <f t="shared" si="0"/>
        <v>1399.98</v>
      </c>
    </row>
    <row r="67" spans="1:11" ht="29.5" thickBot="1" x14ac:dyDescent="0.4">
      <c r="A67" s="1" t="s">
        <v>145</v>
      </c>
      <c r="B67" s="1" t="s">
        <v>165</v>
      </c>
      <c r="C67" s="1" t="s">
        <v>166</v>
      </c>
      <c r="D67" s="1" t="s">
        <v>28</v>
      </c>
      <c r="E67" s="3">
        <v>5</v>
      </c>
      <c r="F67" s="26">
        <v>89.99</v>
      </c>
      <c r="G67" s="1" t="s">
        <v>105</v>
      </c>
      <c r="H67" s="1" t="s">
        <v>89</v>
      </c>
      <c r="I67" s="1" t="s">
        <v>78</v>
      </c>
      <c r="J67" s="2">
        <v>45161</v>
      </c>
      <c r="K67" s="25">
        <f t="shared" ref="K67:K130" si="1">F67*E67</f>
        <v>449.95</v>
      </c>
    </row>
    <row r="68" spans="1:11" ht="29.5" thickBot="1" x14ac:dyDescent="0.4">
      <c r="A68" s="1" t="s">
        <v>220</v>
      </c>
      <c r="B68" s="1" t="s">
        <v>82</v>
      </c>
      <c r="C68" s="1" t="s">
        <v>83</v>
      </c>
      <c r="D68" s="1" t="s">
        <v>27</v>
      </c>
      <c r="E68" s="3">
        <v>4</v>
      </c>
      <c r="F68" s="26">
        <v>59.99</v>
      </c>
      <c r="G68" s="1" t="s">
        <v>71</v>
      </c>
      <c r="H68" s="1" t="s">
        <v>52</v>
      </c>
      <c r="I68" s="1" t="s">
        <v>85</v>
      </c>
      <c r="J68" s="2">
        <v>44509</v>
      </c>
      <c r="K68" s="25">
        <f t="shared" si="1"/>
        <v>239.96</v>
      </c>
    </row>
    <row r="69" spans="1:11" ht="29.5" thickBot="1" x14ac:dyDescent="0.4">
      <c r="A69" s="1" t="s">
        <v>76</v>
      </c>
      <c r="B69" s="1" t="s">
        <v>100</v>
      </c>
      <c r="C69" s="1" t="s">
        <v>101</v>
      </c>
      <c r="D69" s="1" t="s">
        <v>28</v>
      </c>
      <c r="E69" s="3">
        <v>1</v>
      </c>
      <c r="F69" s="26">
        <v>149.99</v>
      </c>
      <c r="G69" s="1" t="s">
        <v>71</v>
      </c>
      <c r="H69" s="1" t="s">
        <v>72</v>
      </c>
      <c r="I69" s="1" t="s">
        <v>85</v>
      </c>
      <c r="J69" s="2">
        <v>44909</v>
      </c>
      <c r="K69" s="25">
        <f t="shared" si="1"/>
        <v>149.99</v>
      </c>
    </row>
    <row r="70" spans="1:11" ht="29.5" thickBot="1" x14ac:dyDescent="0.4">
      <c r="A70" s="1" t="s">
        <v>241</v>
      </c>
      <c r="B70" s="1" t="s">
        <v>153</v>
      </c>
      <c r="C70" s="1" t="s">
        <v>154</v>
      </c>
      <c r="D70" s="1" t="s">
        <v>29</v>
      </c>
      <c r="E70" s="3">
        <v>1</v>
      </c>
      <c r="F70" s="26">
        <v>299.99</v>
      </c>
      <c r="G70" s="1" t="s">
        <v>77</v>
      </c>
      <c r="H70" s="1" t="s">
        <v>89</v>
      </c>
      <c r="I70" s="1" t="s">
        <v>78</v>
      </c>
      <c r="J70" s="2">
        <v>44891</v>
      </c>
      <c r="K70" s="25">
        <f t="shared" si="1"/>
        <v>299.99</v>
      </c>
    </row>
    <row r="71" spans="1:11" ht="29.5" thickBot="1" x14ac:dyDescent="0.4">
      <c r="A71" s="1" t="s">
        <v>241</v>
      </c>
      <c r="B71" s="1" t="s">
        <v>174</v>
      </c>
      <c r="C71" s="1" t="s">
        <v>175</v>
      </c>
      <c r="D71" s="1" t="s">
        <v>29</v>
      </c>
      <c r="E71" s="3">
        <v>2</v>
      </c>
      <c r="F71" s="26">
        <v>199.99</v>
      </c>
      <c r="G71" s="1" t="s">
        <v>71</v>
      </c>
      <c r="H71" s="1" t="s">
        <v>89</v>
      </c>
      <c r="I71" s="1" t="s">
        <v>73</v>
      </c>
      <c r="J71" s="2">
        <v>44541</v>
      </c>
      <c r="K71" s="25">
        <f t="shared" si="1"/>
        <v>399.98</v>
      </c>
    </row>
    <row r="72" spans="1:11" ht="29.5" thickBot="1" x14ac:dyDescent="0.4">
      <c r="A72" s="1" t="s">
        <v>245</v>
      </c>
      <c r="B72" s="1" t="s">
        <v>82</v>
      </c>
      <c r="C72" s="1" t="s">
        <v>83</v>
      </c>
      <c r="D72" s="1" t="s">
        <v>27</v>
      </c>
      <c r="E72" s="3">
        <v>3</v>
      </c>
      <c r="F72" s="26">
        <v>59.99</v>
      </c>
      <c r="G72" s="1" t="s">
        <v>77</v>
      </c>
      <c r="H72" s="1" t="s">
        <v>98</v>
      </c>
      <c r="I72" s="1" t="s">
        <v>73</v>
      </c>
      <c r="J72" s="2">
        <v>45130</v>
      </c>
      <c r="K72" s="25">
        <f t="shared" si="1"/>
        <v>179.97</v>
      </c>
    </row>
    <row r="73" spans="1:11" ht="44" thickBot="1" x14ac:dyDescent="0.4">
      <c r="A73" s="1" t="s">
        <v>121</v>
      </c>
      <c r="B73" s="1" t="s">
        <v>93</v>
      </c>
      <c r="C73" s="1" t="s">
        <v>94</v>
      </c>
      <c r="D73" s="1" t="s">
        <v>29</v>
      </c>
      <c r="E73" s="3">
        <v>3</v>
      </c>
      <c r="F73" s="26">
        <v>149.99</v>
      </c>
      <c r="G73" s="1" t="s">
        <v>71</v>
      </c>
      <c r="H73" s="1" t="s">
        <v>72</v>
      </c>
      <c r="I73" s="1" t="s">
        <v>78</v>
      </c>
      <c r="J73" s="2">
        <v>45199</v>
      </c>
      <c r="K73" s="25">
        <f t="shared" si="1"/>
        <v>449.97</v>
      </c>
    </row>
    <row r="74" spans="1:11" ht="29.5" thickBot="1" x14ac:dyDescent="0.4">
      <c r="A74" s="1" t="s">
        <v>114</v>
      </c>
      <c r="B74" s="1" t="s">
        <v>174</v>
      </c>
      <c r="C74" s="1" t="s">
        <v>175</v>
      </c>
      <c r="D74" s="1" t="s">
        <v>29</v>
      </c>
      <c r="E74" s="3">
        <v>3</v>
      </c>
      <c r="F74" s="26">
        <v>199.99</v>
      </c>
      <c r="G74" s="1" t="s">
        <v>71</v>
      </c>
      <c r="H74" s="1" t="s">
        <v>89</v>
      </c>
      <c r="I74" s="1" t="s">
        <v>78</v>
      </c>
      <c r="J74" s="2">
        <v>45254</v>
      </c>
      <c r="K74" s="25">
        <f t="shared" si="1"/>
        <v>599.97</v>
      </c>
    </row>
    <row r="75" spans="1:11" ht="29.5" thickBot="1" x14ac:dyDescent="0.4">
      <c r="A75" s="1" t="s">
        <v>199</v>
      </c>
      <c r="B75" s="1" t="s">
        <v>109</v>
      </c>
      <c r="C75" s="1" t="s">
        <v>110</v>
      </c>
      <c r="D75" s="1" t="s">
        <v>28</v>
      </c>
      <c r="E75" s="3">
        <v>1</v>
      </c>
      <c r="F75" s="26">
        <v>899.99</v>
      </c>
      <c r="G75" s="1" t="s">
        <v>71</v>
      </c>
      <c r="H75" s="1" t="s">
        <v>72</v>
      </c>
      <c r="I75" s="1" t="s">
        <v>85</v>
      </c>
      <c r="J75" s="2">
        <v>45179</v>
      </c>
      <c r="K75" s="25">
        <f t="shared" si="1"/>
        <v>899.99</v>
      </c>
    </row>
    <row r="76" spans="1:11" ht="29.5" thickBot="1" x14ac:dyDescent="0.4">
      <c r="A76" s="1" t="s">
        <v>76</v>
      </c>
      <c r="B76" s="1" t="s">
        <v>109</v>
      </c>
      <c r="C76" s="1" t="s">
        <v>110</v>
      </c>
      <c r="D76" s="1" t="s">
        <v>28</v>
      </c>
      <c r="E76" s="3">
        <v>5</v>
      </c>
      <c r="F76" s="26">
        <v>899.99</v>
      </c>
      <c r="G76" s="1" t="s">
        <v>105</v>
      </c>
      <c r="H76" s="1" t="s">
        <v>52</v>
      </c>
      <c r="I76" s="1" t="s">
        <v>85</v>
      </c>
      <c r="J76" s="2">
        <v>44899</v>
      </c>
      <c r="K76" s="25">
        <f t="shared" si="1"/>
        <v>4499.95</v>
      </c>
    </row>
    <row r="77" spans="1:11" ht="29.5" thickBot="1" x14ac:dyDescent="0.4">
      <c r="A77" s="1" t="s">
        <v>231</v>
      </c>
      <c r="B77" s="1" t="s">
        <v>82</v>
      </c>
      <c r="C77" s="1" t="s">
        <v>83</v>
      </c>
      <c r="D77" s="1" t="s">
        <v>27</v>
      </c>
      <c r="E77" s="3">
        <v>2</v>
      </c>
      <c r="F77" s="26">
        <v>59.99</v>
      </c>
      <c r="G77" s="1" t="s">
        <v>71</v>
      </c>
      <c r="H77" s="1" t="s">
        <v>89</v>
      </c>
      <c r="I77" s="1" t="s">
        <v>85</v>
      </c>
      <c r="J77" s="2">
        <v>45152</v>
      </c>
      <c r="K77" s="25">
        <f t="shared" si="1"/>
        <v>119.98</v>
      </c>
    </row>
    <row r="78" spans="1:11" ht="29.5" thickBot="1" x14ac:dyDescent="0.4">
      <c r="A78" s="1" t="s">
        <v>245</v>
      </c>
      <c r="B78" s="1" t="s">
        <v>69</v>
      </c>
      <c r="C78" s="1" t="s">
        <v>70</v>
      </c>
      <c r="D78" s="1" t="s">
        <v>28</v>
      </c>
      <c r="E78" s="3">
        <v>4</v>
      </c>
      <c r="F78" s="26">
        <v>249.99</v>
      </c>
      <c r="G78" s="1" t="s">
        <v>105</v>
      </c>
      <c r="H78" s="1" t="s">
        <v>72</v>
      </c>
      <c r="I78" s="1" t="s">
        <v>85</v>
      </c>
      <c r="J78" s="2">
        <v>45127</v>
      </c>
      <c r="K78" s="25">
        <f t="shared" si="1"/>
        <v>999.96</v>
      </c>
    </row>
    <row r="79" spans="1:11" ht="29.5" thickBot="1" x14ac:dyDescent="0.4">
      <c r="A79" s="1" t="s">
        <v>145</v>
      </c>
      <c r="B79" s="1" t="s">
        <v>69</v>
      </c>
      <c r="C79" s="1" t="s">
        <v>70</v>
      </c>
      <c r="D79" s="1" t="s">
        <v>28</v>
      </c>
      <c r="E79" s="3">
        <v>2</v>
      </c>
      <c r="F79" s="26">
        <v>249.99</v>
      </c>
      <c r="G79" s="1" t="s">
        <v>71</v>
      </c>
      <c r="H79" s="1" t="s">
        <v>89</v>
      </c>
      <c r="I79" s="1" t="s">
        <v>78</v>
      </c>
      <c r="J79" s="2">
        <v>45164</v>
      </c>
      <c r="K79" s="25">
        <f t="shared" si="1"/>
        <v>499.98</v>
      </c>
    </row>
    <row r="80" spans="1:11" ht="29.5" thickBot="1" x14ac:dyDescent="0.4">
      <c r="A80" s="1" t="s">
        <v>196</v>
      </c>
      <c r="B80" s="1" t="s">
        <v>153</v>
      </c>
      <c r="C80" s="1" t="s">
        <v>154</v>
      </c>
      <c r="D80" s="1" t="s">
        <v>29</v>
      </c>
      <c r="E80" s="3">
        <v>1</v>
      </c>
      <c r="F80" s="26">
        <v>299.99</v>
      </c>
      <c r="G80" s="1" t="s">
        <v>71</v>
      </c>
      <c r="H80" s="1" t="s">
        <v>52</v>
      </c>
      <c r="I80" s="1" t="s">
        <v>73</v>
      </c>
      <c r="J80" s="2">
        <v>44982</v>
      </c>
      <c r="K80" s="25">
        <f t="shared" si="1"/>
        <v>299.99</v>
      </c>
    </row>
    <row r="81" spans="1:11" ht="29.5" thickBot="1" x14ac:dyDescent="0.4">
      <c r="A81" s="1" t="s">
        <v>135</v>
      </c>
      <c r="B81" s="1" t="s">
        <v>165</v>
      </c>
      <c r="C81" s="1" t="s">
        <v>166</v>
      </c>
      <c r="D81" s="1" t="s">
        <v>28</v>
      </c>
      <c r="E81" s="3">
        <v>2</v>
      </c>
      <c r="F81" s="26">
        <v>89.99</v>
      </c>
      <c r="G81" s="1" t="s">
        <v>84</v>
      </c>
      <c r="H81" s="1" t="s">
        <v>52</v>
      </c>
      <c r="I81" s="1" t="s">
        <v>73</v>
      </c>
      <c r="J81" s="2">
        <v>44976</v>
      </c>
      <c r="K81" s="25">
        <f t="shared" si="1"/>
        <v>179.98</v>
      </c>
    </row>
    <row r="82" spans="1:11" ht="29.5" thickBot="1" x14ac:dyDescent="0.4">
      <c r="A82" s="1" t="s">
        <v>196</v>
      </c>
      <c r="B82" s="1" t="s">
        <v>153</v>
      </c>
      <c r="C82" s="1" t="s">
        <v>154</v>
      </c>
      <c r="D82" s="1" t="s">
        <v>29</v>
      </c>
      <c r="E82" s="3">
        <v>3</v>
      </c>
      <c r="F82" s="26">
        <v>299.99</v>
      </c>
      <c r="G82" s="1" t="s">
        <v>71</v>
      </c>
      <c r="H82" s="1" t="s">
        <v>72</v>
      </c>
      <c r="I82" s="1" t="s">
        <v>73</v>
      </c>
      <c r="J82" s="2">
        <v>44732</v>
      </c>
      <c r="K82" s="25">
        <f t="shared" si="1"/>
        <v>899.97</v>
      </c>
    </row>
    <row r="83" spans="1:11" ht="29.5" thickBot="1" x14ac:dyDescent="0.4">
      <c r="A83" s="1" t="s">
        <v>135</v>
      </c>
      <c r="B83" s="1" t="s">
        <v>128</v>
      </c>
      <c r="C83" s="1" t="s">
        <v>129</v>
      </c>
      <c r="D83" s="1" t="s">
        <v>28</v>
      </c>
      <c r="E83" s="3">
        <v>2</v>
      </c>
      <c r="F83" s="26">
        <v>699.99</v>
      </c>
      <c r="G83" s="1" t="s">
        <v>77</v>
      </c>
      <c r="H83" s="1" t="s">
        <v>89</v>
      </c>
      <c r="I83" s="1" t="s">
        <v>78</v>
      </c>
      <c r="J83" s="2">
        <v>44999</v>
      </c>
      <c r="K83" s="25">
        <f t="shared" si="1"/>
        <v>1399.98</v>
      </c>
    </row>
    <row r="84" spans="1:11" ht="29.5" thickBot="1" x14ac:dyDescent="0.4">
      <c r="A84" s="1" t="s">
        <v>169</v>
      </c>
      <c r="B84" s="1" t="s">
        <v>109</v>
      </c>
      <c r="C84" s="1" t="s">
        <v>110</v>
      </c>
      <c r="D84" s="1" t="s">
        <v>28</v>
      </c>
      <c r="E84" s="3">
        <v>4</v>
      </c>
      <c r="F84" s="26">
        <v>899.99</v>
      </c>
      <c r="G84" s="1" t="s">
        <v>105</v>
      </c>
      <c r="H84" s="1" t="s">
        <v>52</v>
      </c>
      <c r="I84" s="1" t="s">
        <v>85</v>
      </c>
      <c r="J84" s="2">
        <v>44523</v>
      </c>
      <c r="K84" s="25">
        <f t="shared" si="1"/>
        <v>3599.96</v>
      </c>
    </row>
    <row r="85" spans="1:11" ht="29.5" thickBot="1" x14ac:dyDescent="0.4">
      <c r="A85" s="1" t="s">
        <v>260</v>
      </c>
      <c r="B85" s="1" t="s">
        <v>93</v>
      </c>
      <c r="C85" s="1" t="s">
        <v>94</v>
      </c>
      <c r="D85" s="1" t="s">
        <v>29</v>
      </c>
      <c r="E85" s="3">
        <v>2</v>
      </c>
      <c r="F85" s="26">
        <v>149.99</v>
      </c>
      <c r="G85" s="1" t="s">
        <v>77</v>
      </c>
      <c r="H85" s="1" t="s">
        <v>98</v>
      </c>
      <c r="I85" s="1" t="s">
        <v>73</v>
      </c>
      <c r="J85" s="2">
        <v>44542</v>
      </c>
      <c r="K85" s="25">
        <f t="shared" si="1"/>
        <v>299.98</v>
      </c>
    </row>
    <row r="86" spans="1:11" ht="29.5" thickBot="1" x14ac:dyDescent="0.4">
      <c r="A86" s="1" t="s">
        <v>151</v>
      </c>
      <c r="B86" s="1" t="s">
        <v>93</v>
      </c>
      <c r="C86" s="1" t="s">
        <v>94</v>
      </c>
      <c r="D86" s="1" t="s">
        <v>29</v>
      </c>
      <c r="E86" s="3">
        <v>2</v>
      </c>
      <c r="F86" s="26">
        <v>149.99</v>
      </c>
      <c r="G86" s="1" t="s">
        <v>105</v>
      </c>
      <c r="H86" s="1" t="s">
        <v>111</v>
      </c>
      <c r="I86" s="1" t="s">
        <v>85</v>
      </c>
      <c r="J86" s="2">
        <v>44667</v>
      </c>
      <c r="K86" s="25">
        <f t="shared" si="1"/>
        <v>299.98</v>
      </c>
    </row>
    <row r="87" spans="1:11" ht="29.5" thickBot="1" x14ac:dyDescent="0.4">
      <c r="A87" s="1" t="s">
        <v>138</v>
      </c>
      <c r="B87" s="1" t="s">
        <v>165</v>
      </c>
      <c r="C87" s="1" t="s">
        <v>166</v>
      </c>
      <c r="D87" s="1" t="s">
        <v>28</v>
      </c>
      <c r="E87" s="3">
        <v>1</v>
      </c>
      <c r="F87" s="26">
        <v>89.99</v>
      </c>
      <c r="G87" s="1" t="s">
        <v>77</v>
      </c>
      <c r="H87" s="1" t="s">
        <v>89</v>
      </c>
      <c r="I87" s="1" t="s">
        <v>85</v>
      </c>
      <c r="J87" s="2">
        <v>45393</v>
      </c>
      <c r="K87" s="25">
        <f t="shared" si="1"/>
        <v>89.99</v>
      </c>
    </row>
    <row r="88" spans="1:11" ht="29.5" thickBot="1" x14ac:dyDescent="0.4">
      <c r="A88" s="1" t="s">
        <v>135</v>
      </c>
      <c r="B88" s="1" t="s">
        <v>153</v>
      </c>
      <c r="C88" s="1" t="s">
        <v>154</v>
      </c>
      <c r="D88" s="1" t="s">
        <v>29</v>
      </c>
      <c r="E88" s="3">
        <v>5</v>
      </c>
      <c r="F88" s="26">
        <v>299.99</v>
      </c>
      <c r="G88" s="1" t="s">
        <v>77</v>
      </c>
      <c r="H88" s="1" t="s">
        <v>89</v>
      </c>
      <c r="I88" s="1" t="s">
        <v>73</v>
      </c>
      <c r="J88" s="2">
        <v>44965</v>
      </c>
      <c r="K88" s="25">
        <f t="shared" si="1"/>
        <v>1499.95</v>
      </c>
    </row>
    <row r="89" spans="1:11" ht="29.5" thickBot="1" x14ac:dyDescent="0.4">
      <c r="A89" s="1" t="s">
        <v>231</v>
      </c>
      <c r="B89" s="1" t="s">
        <v>100</v>
      </c>
      <c r="C89" s="1" t="s">
        <v>101</v>
      </c>
      <c r="D89" s="1" t="s">
        <v>28</v>
      </c>
      <c r="E89" s="3">
        <v>4</v>
      </c>
      <c r="F89" s="26">
        <v>149.99</v>
      </c>
      <c r="G89" s="1" t="s">
        <v>105</v>
      </c>
      <c r="H89" s="1" t="s">
        <v>52</v>
      </c>
      <c r="I89" s="1" t="s">
        <v>78</v>
      </c>
      <c r="J89" s="2">
        <v>44820</v>
      </c>
      <c r="K89" s="25">
        <f t="shared" si="1"/>
        <v>599.96</v>
      </c>
    </row>
    <row r="90" spans="1:11" ht="29.5" thickBot="1" x14ac:dyDescent="0.4">
      <c r="A90" s="1" t="s">
        <v>234</v>
      </c>
      <c r="B90" s="1" t="s">
        <v>69</v>
      </c>
      <c r="C90" s="1" t="s">
        <v>70</v>
      </c>
      <c r="D90" s="1" t="s">
        <v>28</v>
      </c>
      <c r="E90" s="3">
        <v>5</v>
      </c>
      <c r="F90" s="26">
        <v>249.99</v>
      </c>
      <c r="G90" s="1" t="s">
        <v>84</v>
      </c>
      <c r="H90" s="1" t="s">
        <v>111</v>
      </c>
      <c r="I90" s="1" t="s">
        <v>78</v>
      </c>
      <c r="J90" s="2">
        <v>44782</v>
      </c>
      <c r="K90" s="25">
        <f t="shared" si="1"/>
        <v>1249.95</v>
      </c>
    </row>
    <row r="91" spans="1:11" ht="29.5" thickBot="1" x14ac:dyDescent="0.4">
      <c r="A91" s="1" t="s">
        <v>114</v>
      </c>
      <c r="B91" s="1" t="s">
        <v>69</v>
      </c>
      <c r="C91" s="1" t="s">
        <v>70</v>
      </c>
      <c r="D91" s="1" t="s">
        <v>28</v>
      </c>
      <c r="E91" s="3">
        <v>3</v>
      </c>
      <c r="F91" s="26">
        <v>249.99</v>
      </c>
      <c r="G91" s="1" t="s">
        <v>84</v>
      </c>
      <c r="H91" s="1" t="s">
        <v>89</v>
      </c>
      <c r="I91" s="1" t="s">
        <v>78</v>
      </c>
      <c r="J91" s="2">
        <v>44465</v>
      </c>
      <c r="K91" s="25">
        <f t="shared" si="1"/>
        <v>749.97</v>
      </c>
    </row>
    <row r="92" spans="1:11" ht="29.5" thickBot="1" x14ac:dyDescent="0.4">
      <c r="A92" s="1" t="s">
        <v>88</v>
      </c>
      <c r="B92" s="1" t="s">
        <v>174</v>
      </c>
      <c r="C92" s="1" t="s">
        <v>175</v>
      </c>
      <c r="D92" s="1" t="s">
        <v>29</v>
      </c>
      <c r="E92" s="3">
        <v>4</v>
      </c>
      <c r="F92" s="26">
        <v>199.99</v>
      </c>
      <c r="G92" s="1" t="s">
        <v>71</v>
      </c>
      <c r="H92" s="1" t="s">
        <v>89</v>
      </c>
      <c r="I92" s="1" t="s">
        <v>85</v>
      </c>
      <c r="J92" s="2">
        <v>44458</v>
      </c>
      <c r="K92" s="25">
        <f t="shared" si="1"/>
        <v>799.96</v>
      </c>
    </row>
    <row r="93" spans="1:11" ht="29.5" thickBot="1" x14ac:dyDescent="0.4">
      <c r="A93" s="1" t="s">
        <v>207</v>
      </c>
      <c r="B93" s="1" t="s">
        <v>174</v>
      </c>
      <c r="C93" s="1" t="s">
        <v>175</v>
      </c>
      <c r="D93" s="1" t="s">
        <v>29</v>
      </c>
      <c r="E93" s="3">
        <v>5</v>
      </c>
      <c r="F93" s="26">
        <v>199.99</v>
      </c>
      <c r="G93" s="1" t="s">
        <v>71</v>
      </c>
      <c r="H93" s="1" t="s">
        <v>89</v>
      </c>
      <c r="I93" s="1" t="s">
        <v>78</v>
      </c>
      <c r="J93" s="2">
        <v>44991</v>
      </c>
      <c r="K93" s="25">
        <f t="shared" si="1"/>
        <v>999.95</v>
      </c>
    </row>
    <row r="94" spans="1:11" ht="29.5" thickBot="1" x14ac:dyDescent="0.4">
      <c r="A94" s="1" t="s">
        <v>135</v>
      </c>
      <c r="B94" s="1" t="s">
        <v>165</v>
      </c>
      <c r="C94" s="1" t="s">
        <v>166</v>
      </c>
      <c r="D94" s="1" t="s">
        <v>28</v>
      </c>
      <c r="E94" s="3">
        <v>2</v>
      </c>
      <c r="F94" s="26">
        <v>89.99</v>
      </c>
      <c r="G94" s="1" t="s">
        <v>71</v>
      </c>
      <c r="H94" s="1" t="s">
        <v>111</v>
      </c>
      <c r="I94" s="1" t="s">
        <v>78</v>
      </c>
      <c r="J94" s="2">
        <v>44972</v>
      </c>
      <c r="K94" s="25">
        <f t="shared" si="1"/>
        <v>179.98</v>
      </c>
    </row>
    <row r="95" spans="1:11" ht="29.5" thickBot="1" x14ac:dyDescent="0.4">
      <c r="A95" s="1" t="s">
        <v>245</v>
      </c>
      <c r="B95" s="1" t="s">
        <v>109</v>
      </c>
      <c r="C95" s="1" t="s">
        <v>110</v>
      </c>
      <c r="D95" s="1" t="s">
        <v>28</v>
      </c>
      <c r="E95" s="3">
        <v>5</v>
      </c>
      <c r="F95" s="26">
        <v>899.99</v>
      </c>
      <c r="G95" s="1" t="s">
        <v>105</v>
      </c>
      <c r="H95" s="1" t="s">
        <v>111</v>
      </c>
      <c r="I95" s="1" t="s">
        <v>73</v>
      </c>
      <c r="J95" s="2">
        <v>44526</v>
      </c>
      <c r="K95" s="25">
        <f t="shared" si="1"/>
        <v>4499.95</v>
      </c>
    </row>
    <row r="96" spans="1:11" ht="29.5" thickBot="1" x14ac:dyDescent="0.4">
      <c r="A96" s="1" t="s">
        <v>157</v>
      </c>
      <c r="B96" s="1" t="s">
        <v>100</v>
      </c>
      <c r="C96" s="1" t="s">
        <v>101</v>
      </c>
      <c r="D96" s="1" t="s">
        <v>28</v>
      </c>
      <c r="E96" s="3">
        <v>3</v>
      </c>
      <c r="F96" s="26">
        <v>149.99</v>
      </c>
      <c r="G96" s="1" t="s">
        <v>84</v>
      </c>
      <c r="H96" s="1" t="s">
        <v>111</v>
      </c>
      <c r="I96" s="1" t="s">
        <v>73</v>
      </c>
      <c r="J96" s="2">
        <v>44574</v>
      </c>
      <c r="K96" s="25">
        <f t="shared" si="1"/>
        <v>449.97</v>
      </c>
    </row>
    <row r="97" spans="1:11" ht="29.5" thickBot="1" x14ac:dyDescent="0.4">
      <c r="A97" s="1" t="s">
        <v>151</v>
      </c>
      <c r="B97" s="1" t="s">
        <v>93</v>
      </c>
      <c r="C97" s="1" t="s">
        <v>94</v>
      </c>
      <c r="D97" s="1" t="s">
        <v>29</v>
      </c>
      <c r="E97" s="3">
        <v>5</v>
      </c>
      <c r="F97" s="26">
        <v>149.99</v>
      </c>
      <c r="G97" s="1" t="s">
        <v>77</v>
      </c>
      <c r="H97" s="1" t="s">
        <v>72</v>
      </c>
      <c r="I97" s="1" t="s">
        <v>73</v>
      </c>
      <c r="J97" s="2">
        <v>45310</v>
      </c>
      <c r="K97" s="25">
        <f t="shared" si="1"/>
        <v>749.95</v>
      </c>
    </row>
    <row r="98" spans="1:11" ht="29.5" thickBot="1" x14ac:dyDescent="0.4">
      <c r="A98" s="1" t="s">
        <v>275</v>
      </c>
      <c r="B98" s="1" t="s">
        <v>162</v>
      </c>
      <c r="C98" s="1" t="s">
        <v>163</v>
      </c>
      <c r="D98" s="1" t="s">
        <v>27</v>
      </c>
      <c r="E98" s="3">
        <v>3</v>
      </c>
      <c r="F98" s="26">
        <v>79.989999999999995</v>
      </c>
      <c r="G98" s="1" t="s">
        <v>71</v>
      </c>
      <c r="H98" s="1" t="s">
        <v>72</v>
      </c>
      <c r="I98" s="1" t="s">
        <v>78</v>
      </c>
      <c r="J98" s="2">
        <v>44779</v>
      </c>
      <c r="K98" s="25">
        <f t="shared" si="1"/>
        <v>239.96999999999997</v>
      </c>
    </row>
    <row r="99" spans="1:11" ht="29.5" thickBot="1" x14ac:dyDescent="0.4">
      <c r="A99" s="1" t="s">
        <v>193</v>
      </c>
      <c r="B99" s="1" t="s">
        <v>69</v>
      </c>
      <c r="C99" s="1" t="s">
        <v>70</v>
      </c>
      <c r="D99" s="1" t="s">
        <v>28</v>
      </c>
      <c r="E99" s="3">
        <v>2</v>
      </c>
      <c r="F99" s="26">
        <v>249.99</v>
      </c>
      <c r="G99" s="1" t="s">
        <v>71</v>
      </c>
      <c r="H99" s="1" t="s">
        <v>52</v>
      </c>
      <c r="I99" s="1" t="s">
        <v>85</v>
      </c>
      <c r="J99" s="2">
        <v>44572</v>
      </c>
      <c r="K99" s="25">
        <f t="shared" si="1"/>
        <v>499.98</v>
      </c>
    </row>
    <row r="100" spans="1:11" ht="29.5" thickBot="1" x14ac:dyDescent="0.4">
      <c r="A100" s="1" t="s">
        <v>245</v>
      </c>
      <c r="B100" s="1" t="s">
        <v>128</v>
      </c>
      <c r="C100" s="1" t="s">
        <v>129</v>
      </c>
      <c r="D100" s="1" t="s">
        <v>28</v>
      </c>
      <c r="E100" s="3">
        <v>1</v>
      </c>
      <c r="F100" s="26">
        <v>699.99</v>
      </c>
      <c r="G100" s="1" t="s">
        <v>71</v>
      </c>
      <c r="H100" s="1" t="s">
        <v>72</v>
      </c>
      <c r="I100" s="1" t="s">
        <v>78</v>
      </c>
      <c r="J100" s="2">
        <v>44497</v>
      </c>
      <c r="K100" s="25">
        <f t="shared" si="1"/>
        <v>699.99</v>
      </c>
    </row>
    <row r="101" spans="1:11" ht="29.5" thickBot="1" x14ac:dyDescent="0.4">
      <c r="A101" s="1" t="s">
        <v>280</v>
      </c>
      <c r="B101" s="1" t="s">
        <v>100</v>
      </c>
      <c r="C101" s="1" t="s">
        <v>101</v>
      </c>
      <c r="D101" s="1" t="s">
        <v>28</v>
      </c>
      <c r="E101" s="3">
        <v>3</v>
      </c>
      <c r="F101" s="26">
        <v>149.99</v>
      </c>
      <c r="G101" s="1" t="s">
        <v>71</v>
      </c>
      <c r="H101" s="1" t="s">
        <v>98</v>
      </c>
      <c r="I101" s="1" t="s">
        <v>78</v>
      </c>
      <c r="J101" s="2">
        <v>45212</v>
      </c>
      <c r="K101" s="25">
        <f t="shared" si="1"/>
        <v>449.97</v>
      </c>
    </row>
    <row r="102" spans="1:11" ht="29.5" thickBot="1" x14ac:dyDescent="0.4">
      <c r="A102" s="1" t="s">
        <v>283</v>
      </c>
      <c r="B102" s="1" t="s">
        <v>128</v>
      </c>
      <c r="C102" s="1" t="s">
        <v>129</v>
      </c>
      <c r="D102" s="1" t="s">
        <v>28</v>
      </c>
      <c r="E102" s="3">
        <v>2</v>
      </c>
      <c r="F102" s="26">
        <v>699.99</v>
      </c>
      <c r="G102" s="1" t="s">
        <v>77</v>
      </c>
      <c r="H102" s="1" t="s">
        <v>89</v>
      </c>
      <c r="I102" s="1" t="s">
        <v>78</v>
      </c>
      <c r="J102" s="2">
        <v>44421</v>
      </c>
      <c r="K102" s="25">
        <f t="shared" si="1"/>
        <v>1399.98</v>
      </c>
    </row>
    <row r="103" spans="1:11" ht="29.5" thickBot="1" x14ac:dyDescent="0.4">
      <c r="A103" s="1" t="s">
        <v>280</v>
      </c>
      <c r="B103" s="1" t="s">
        <v>69</v>
      </c>
      <c r="C103" s="1" t="s">
        <v>70</v>
      </c>
      <c r="D103" s="1" t="s">
        <v>28</v>
      </c>
      <c r="E103" s="3">
        <v>1</v>
      </c>
      <c r="F103" s="26">
        <v>249.99</v>
      </c>
      <c r="G103" s="1" t="s">
        <v>77</v>
      </c>
      <c r="H103" s="1" t="s">
        <v>98</v>
      </c>
      <c r="I103" s="1" t="s">
        <v>78</v>
      </c>
      <c r="J103" s="2">
        <v>44685</v>
      </c>
      <c r="K103" s="25">
        <f t="shared" si="1"/>
        <v>249.99</v>
      </c>
    </row>
    <row r="104" spans="1:11" ht="29.5" thickBot="1" x14ac:dyDescent="0.4">
      <c r="A104" s="1" t="s">
        <v>68</v>
      </c>
      <c r="B104" s="1" t="s">
        <v>69</v>
      </c>
      <c r="C104" s="1" t="s">
        <v>70</v>
      </c>
      <c r="D104" s="1" t="s">
        <v>28</v>
      </c>
      <c r="E104" s="3">
        <v>1</v>
      </c>
      <c r="F104" s="26">
        <v>249.99</v>
      </c>
      <c r="G104" s="1" t="s">
        <v>105</v>
      </c>
      <c r="H104" s="1" t="s">
        <v>89</v>
      </c>
      <c r="I104" s="1" t="s">
        <v>78</v>
      </c>
      <c r="J104" s="2">
        <v>45332</v>
      </c>
      <c r="K104" s="25">
        <f t="shared" si="1"/>
        <v>249.99</v>
      </c>
    </row>
    <row r="105" spans="1:11" ht="29.5" thickBot="1" x14ac:dyDescent="0.4">
      <c r="A105" s="1" t="s">
        <v>275</v>
      </c>
      <c r="B105" s="1" t="s">
        <v>128</v>
      </c>
      <c r="C105" s="1" t="s">
        <v>129</v>
      </c>
      <c r="D105" s="1" t="s">
        <v>28</v>
      </c>
      <c r="E105" s="3">
        <v>2</v>
      </c>
      <c r="F105" s="26">
        <v>699.99</v>
      </c>
      <c r="G105" s="1" t="s">
        <v>105</v>
      </c>
      <c r="H105" s="1" t="s">
        <v>72</v>
      </c>
      <c r="I105" s="1" t="s">
        <v>78</v>
      </c>
      <c r="J105" s="2">
        <v>44870</v>
      </c>
      <c r="K105" s="25">
        <f t="shared" si="1"/>
        <v>1399.98</v>
      </c>
    </row>
    <row r="106" spans="1:11" ht="29.5" thickBot="1" x14ac:dyDescent="0.4">
      <c r="A106" s="1" t="s">
        <v>187</v>
      </c>
      <c r="B106" s="1" t="s">
        <v>82</v>
      </c>
      <c r="C106" s="1" t="s">
        <v>83</v>
      </c>
      <c r="D106" s="1" t="s">
        <v>27</v>
      </c>
      <c r="E106" s="3">
        <v>3</v>
      </c>
      <c r="F106" s="26">
        <v>59.99</v>
      </c>
      <c r="G106" s="1" t="s">
        <v>77</v>
      </c>
      <c r="H106" s="1" t="s">
        <v>72</v>
      </c>
      <c r="I106" s="1" t="s">
        <v>78</v>
      </c>
      <c r="J106" s="2">
        <v>44717</v>
      </c>
      <c r="K106" s="25">
        <f t="shared" si="1"/>
        <v>179.97</v>
      </c>
    </row>
    <row r="107" spans="1:11" ht="29.5" thickBot="1" x14ac:dyDescent="0.4">
      <c r="A107" s="1" t="s">
        <v>181</v>
      </c>
      <c r="B107" s="1" t="s">
        <v>82</v>
      </c>
      <c r="C107" s="1" t="s">
        <v>83</v>
      </c>
      <c r="D107" s="1" t="s">
        <v>27</v>
      </c>
      <c r="E107" s="3">
        <v>3</v>
      </c>
      <c r="F107" s="26">
        <v>59.99</v>
      </c>
      <c r="G107" s="1" t="s">
        <v>84</v>
      </c>
      <c r="H107" s="1" t="s">
        <v>111</v>
      </c>
      <c r="I107" s="1" t="s">
        <v>85</v>
      </c>
      <c r="J107" s="2">
        <v>44748</v>
      </c>
      <c r="K107" s="25">
        <f t="shared" si="1"/>
        <v>179.97</v>
      </c>
    </row>
    <row r="108" spans="1:11" ht="29.5" thickBot="1" x14ac:dyDescent="0.4">
      <c r="A108" s="1" t="s">
        <v>190</v>
      </c>
      <c r="B108" s="1" t="s">
        <v>162</v>
      </c>
      <c r="C108" s="1" t="s">
        <v>163</v>
      </c>
      <c r="D108" s="1" t="s">
        <v>27</v>
      </c>
      <c r="E108" s="3">
        <v>4</v>
      </c>
      <c r="F108" s="26">
        <v>79.989999999999995</v>
      </c>
      <c r="G108" s="1" t="s">
        <v>71</v>
      </c>
      <c r="H108" s="1" t="s">
        <v>89</v>
      </c>
      <c r="I108" s="1" t="s">
        <v>73</v>
      </c>
      <c r="J108" s="2">
        <v>44530</v>
      </c>
      <c r="K108" s="25">
        <f t="shared" si="1"/>
        <v>319.95999999999998</v>
      </c>
    </row>
    <row r="109" spans="1:11" ht="29.5" thickBot="1" x14ac:dyDescent="0.4">
      <c r="A109" s="1" t="s">
        <v>104</v>
      </c>
      <c r="B109" s="1" t="s">
        <v>162</v>
      </c>
      <c r="C109" s="1" t="s">
        <v>163</v>
      </c>
      <c r="D109" s="1" t="s">
        <v>27</v>
      </c>
      <c r="E109" s="3">
        <v>1</v>
      </c>
      <c r="F109" s="26">
        <v>79.989999999999995</v>
      </c>
      <c r="G109" s="1" t="s">
        <v>71</v>
      </c>
      <c r="H109" s="1" t="s">
        <v>98</v>
      </c>
      <c r="I109" s="1" t="s">
        <v>73</v>
      </c>
      <c r="J109" s="2">
        <v>44693</v>
      </c>
      <c r="K109" s="25">
        <f t="shared" si="1"/>
        <v>79.989999999999995</v>
      </c>
    </row>
    <row r="110" spans="1:11" ht="29.5" thickBot="1" x14ac:dyDescent="0.4">
      <c r="A110" s="1" t="s">
        <v>97</v>
      </c>
      <c r="B110" s="1" t="s">
        <v>153</v>
      </c>
      <c r="C110" s="1" t="s">
        <v>154</v>
      </c>
      <c r="D110" s="1" t="s">
        <v>29</v>
      </c>
      <c r="E110" s="3">
        <v>3</v>
      </c>
      <c r="F110" s="26">
        <v>299.99</v>
      </c>
      <c r="G110" s="1" t="s">
        <v>77</v>
      </c>
      <c r="H110" s="1" t="s">
        <v>72</v>
      </c>
      <c r="I110" s="1" t="s">
        <v>78</v>
      </c>
      <c r="J110" s="2">
        <v>44494</v>
      </c>
      <c r="K110" s="25">
        <f t="shared" si="1"/>
        <v>899.97</v>
      </c>
    </row>
    <row r="111" spans="1:11" ht="29.5" thickBot="1" x14ac:dyDescent="0.4">
      <c r="A111" s="1" t="s">
        <v>88</v>
      </c>
      <c r="B111" s="1" t="s">
        <v>165</v>
      </c>
      <c r="C111" s="1" t="s">
        <v>166</v>
      </c>
      <c r="D111" s="1" t="s">
        <v>28</v>
      </c>
      <c r="E111" s="3">
        <v>2</v>
      </c>
      <c r="F111" s="26">
        <v>89.99</v>
      </c>
      <c r="G111" s="1" t="s">
        <v>77</v>
      </c>
      <c r="H111" s="1" t="s">
        <v>52</v>
      </c>
      <c r="I111" s="1" t="s">
        <v>78</v>
      </c>
      <c r="J111" s="2">
        <v>44641</v>
      </c>
      <c r="K111" s="25">
        <f t="shared" si="1"/>
        <v>179.98</v>
      </c>
    </row>
    <row r="112" spans="1:11" ht="29.5" thickBot="1" x14ac:dyDescent="0.4">
      <c r="A112" s="1" t="s">
        <v>295</v>
      </c>
      <c r="B112" s="1" t="s">
        <v>100</v>
      </c>
      <c r="C112" s="1" t="s">
        <v>101</v>
      </c>
      <c r="D112" s="1" t="s">
        <v>28</v>
      </c>
      <c r="E112" s="3">
        <v>4</v>
      </c>
      <c r="F112" s="26">
        <v>149.99</v>
      </c>
      <c r="G112" s="1" t="s">
        <v>71</v>
      </c>
      <c r="H112" s="1" t="s">
        <v>89</v>
      </c>
      <c r="I112" s="1" t="s">
        <v>73</v>
      </c>
      <c r="J112" s="2">
        <v>44909</v>
      </c>
      <c r="K112" s="25">
        <f t="shared" si="1"/>
        <v>599.96</v>
      </c>
    </row>
    <row r="113" spans="1:11" ht="29.5" thickBot="1" x14ac:dyDescent="0.4">
      <c r="A113" s="1" t="s">
        <v>114</v>
      </c>
      <c r="B113" s="1" t="s">
        <v>69</v>
      </c>
      <c r="C113" s="1" t="s">
        <v>70</v>
      </c>
      <c r="D113" s="1" t="s">
        <v>28</v>
      </c>
      <c r="E113" s="3">
        <v>2</v>
      </c>
      <c r="F113" s="26">
        <v>249.99</v>
      </c>
      <c r="G113" s="1" t="s">
        <v>84</v>
      </c>
      <c r="H113" s="1" t="s">
        <v>52</v>
      </c>
      <c r="I113" s="1" t="s">
        <v>73</v>
      </c>
      <c r="J113" s="2">
        <v>44993</v>
      </c>
      <c r="K113" s="25">
        <f t="shared" si="1"/>
        <v>499.98</v>
      </c>
    </row>
    <row r="114" spans="1:11" ht="29.5" thickBot="1" x14ac:dyDescent="0.4">
      <c r="A114" s="1" t="s">
        <v>203</v>
      </c>
      <c r="B114" s="1" t="s">
        <v>174</v>
      </c>
      <c r="C114" s="1" t="s">
        <v>175</v>
      </c>
      <c r="D114" s="1" t="s">
        <v>29</v>
      </c>
      <c r="E114" s="3">
        <v>4</v>
      </c>
      <c r="F114" s="26">
        <v>199.99</v>
      </c>
      <c r="G114" s="1" t="s">
        <v>105</v>
      </c>
      <c r="H114" s="1" t="s">
        <v>111</v>
      </c>
      <c r="I114" s="1" t="s">
        <v>73</v>
      </c>
      <c r="J114" s="2">
        <v>44458</v>
      </c>
      <c r="K114" s="25">
        <f t="shared" si="1"/>
        <v>799.96</v>
      </c>
    </row>
    <row r="115" spans="1:11" ht="29.5" thickBot="1" x14ac:dyDescent="0.4">
      <c r="A115" s="1" t="s">
        <v>196</v>
      </c>
      <c r="B115" s="1" t="s">
        <v>165</v>
      </c>
      <c r="C115" s="1" t="s">
        <v>166</v>
      </c>
      <c r="D115" s="1" t="s">
        <v>28</v>
      </c>
      <c r="E115" s="3">
        <v>5</v>
      </c>
      <c r="F115" s="26">
        <v>89.99</v>
      </c>
      <c r="G115" s="1" t="s">
        <v>77</v>
      </c>
      <c r="H115" s="1" t="s">
        <v>111</v>
      </c>
      <c r="I115" s="1" t="s">
        <v>78</v>
      </c>
      <c r="J115" s="2">
        <v>44446</v>
      </c>
      <c r="K115" s="25">
        <f t="shared" si="1"/>
        <v>449.95</v>
      </c>
    </row>
    <row r="116" spans="1:11" ht="29.5" thickBot="1" x14ac:dyDescent="0.4">
      <c r="A116" s="1" t="s">
        <v>301</v>
      </c>
      <c r="B116" s="1" t="s">
        <v>100</v>
      </c>
      <c r="C116" s="1" t="s">
        <v>101</v>
      </c>
      <c r="D116" s="1" t="s">
        <v>28</v>
      </c>
      <c r="E116" s="3">
        <v>1</v>
      </c>
      <c r="F116" s="26">
        <v>149.99</v>
      </c>
      <c r="G116" s="1" t="s">
        <v>84</v>
      </c>
      <c r="H116" s="1" t="s">
        <v>111</v>
      </c>
      <c r="I116" s="1" t="s">
        <v>85</v>
      </c>
      <c r="J116" s="2">
        <v>44482</v>
      </c>
      <c r="K116" s="25">
        <f t="shared" si="1"/>
        <v>149.99</v>
      </c>
    </row>
    <row r="117" spans="1:11" ht="44" thickBot="1" x14ac:dyDescent="0.4">
      <c r="A117" s="1" t="s">
        <v>121</v>
      </c>
      <c r="B117" s="1" t="s">
        <v>128</v>
      </c>
      <c r="C117" s="1" t="s">
        <v>129</v>
      </c>
      <c r="D117" s="1" t="s">
        <v>28</v>
      </c>
      <c r="E117" s="3">
        <v>4</v>
      </c>
      <c r="F117" s="26">
        <v>699.99</v>
      </c>
      <c r="G117" s="1" t="s">
        <v>84</v>
      </c>
      <c r="H117" s="1" t="s">
        <v>52</v>
      </c>
      <c r="I117" s="1" t="s">
        <v>73</v>
      </c>
      <c r="J117" s="2">
        <v>44618</v>
      </c>
      <c r="K117" s="25">
        <f t="shared" si="1"/>
        <v>2799.96</v>
      </c>
    </row>
    <row r="118" spans="1:11" ht="29.5" thickBot="1" x14ac:dyDescent="0.4">
      <c r="A118" s="1" t="s">
        <v>283</v>
      </c>
      <c r="B118" s="1" t="s">
        <v>109</v>
      </c>
      <c r="C118" s="1" t="s">
        <v>110</v>
      </c>
      <c r="D118" s="1" t="s">
        <v>28</v>
      </c>
      <c r="E118" s="3">
        <v>3</v>
      </c>
      <c r="F118" s="26">
        <v>899.99</v>
      </c>
      <c r="G118" s="1" t="s">
        <v>77</v>
      </c>
      <c r="H118" s="1" t="s">
        <v>89</v>
      </c>
      <c r="I118" s="1" t="s">
        <v>85</v>
      </c>
      <c r="J118" s="2">
        <v>45157</v>
      </c>
      <c r="K118" s="25">
        <f t="shared" si="1"/>
        <v>2699.9700000000003</v>
      </c>
    </row>
    <row r="119" spans="1:11" ht="29.5" thickBot="1" x14ac:dyDescent="0.4">
      <c r="A119" s="1" t="s">
        <v>161</v>
      </c>
      <c r="B119" s="1" t="s">
        <v>93</v>
      </c>
      <c r="C119" s="1" t="s">
        <v>94</v>
      </c>
      <c r="D119" s="1" t="s">
        <v>29</v>
      </c>
      <c r="E119" s="3">
        <v>3</v>
      </c>
      <c r="F119" s="26">
        <v>149.99</v>
      </c>
      <c r="G119" s="1" t="s">
        <v>84</v>
      </c>
      <c r="H119" s="1" t="s">
        <v>111</v>
      </c>
      <c r="I119" s="1" t="s">
        <v>73</v>
      </c>
      <c r="J119" s="2">
        <v>44886</v>
      </c>
      <c r="K119" s="25">
        <f t="shared" si="1"/>
        <v>449.97</v>
      </c>
    </row>
    <row r="120" spans="1:11" ht="29.5" thickBot="1" x14ac:dyDescent="0.4">
      <c r="A120" s="1" t="s">
        <v>148</v>
      </c>
      <c r="B120" s="1" t="s">
        <v>153</v>
      </c>
      <c r="C120" s="1" t="s">
        <v>154</v>
      </c>
      <c r="D120" s="1" t="s">
        <v>29</v>
      </c>
      <c r="E120" s="3">
        <v>2</v>
      </c>
      <c r="F120" s="26">
        <v>299.99</v>
      </c>
      <c r="G120" s="1" t="s">
        <v>105</v>
      </c>
      <c r="H120" s="1" t="s">
        <v>72</v>
      </c>
      <c r="I120" s="1" t="s">
        <v>73</v>
      </c>
      <c r="J120" s="2">
        <v>44569</v>
      </c>
      <c r="K120" s="25">
        <f t="shared" si="1"/>
        <v>599.98</v>
      </c>
    </row>
    <row r="121" spans="1:11" ht="29.5" thickBot="1" x14ac:dyDescent="0.4">
      <c r="A121" s="1" t="s">
        <v>308</v>
      </c>
      <c r="B121" s="1" t="s">
        <v>174</v>
      </c>
      <c r="C121" s="1" t="s">
        <v>175</v>
      </c>
      <c r="D121" s="1" t="s">
        <v>29</v>
      </c>
      <c r="E121" s="3">
        <v>1</v>
      </c>
      <c r="F121" s="26">
        <v>199.99</v>
      </c>
      <c r="G121" s="1" t="s">
        <v>105</v>
      </c>
      <c r="H121" s="1" t="s">
        <v>111</v>
      </c>
      <c r="I121" s="1" t="s">
        <v>85</v>
      </c>
      <c r="J121" s="2">
        <v>44953</v>
      </c>
      <c r="K121" s="25">
        <f t="shared" si="1"/>
        <v>199.99</v>
      </c>
    </row>
    <row r="122" spans="1:11" ht="29.5" thickBot="1" x14ac:dyDescent="0.4">
      <c r="A122" s="1" t="s">
        <v>92</v>
      </c>
      <c r="B122" s="1" t="s">
        <v>153</v>
      </c>
      <c r="C122" s="1" t="s">
        <v>154</v>
      </c>
      <c r="D122" s="1" t="s">
        <v>29</v>
      </c>
      <c r="E122" s="3">
        <v>4</v>
      </c>
      <c r="F122" s="26">
        <v>299.99</v>
      </c>
      <c r="G122" s="1" t="s">
        <v>71</v>
      </c>
      <c r="H122" s="1" t="s">
        <v>72</v>
      </c>
      <c r="I122" s="1" t="s">
        <v>78</v>
      </c>
      <c r="J122" s="2">
        <v>44460</v>
      </c>
      <c r="K122" s="25">
        <f t="shared" si="1"/>
        <v>1199.96</v>
      </c>
    </row>
    <row r="123" spans="1:11" ht="29.5" thickBot="1" x14ac:dyDescent="0.4">
      <c r="A123" s="1" t="s">
        <v>138</v>
      </c>
      <c r="B123" s="1" t="s">
        <v>82</v>
      </c>
      <c r="C123" s="1" t="s">
        <v>83</v>
      </c>
      <c r="D123" s="1" t="s">
        <v>27</v>
      </c>
      <c r="E123" s="3">
        <v>2</v>
      </c>
      <c r="F123" s="26">
        <v>59.99</v>
      </c>
      <c r="G123" s="1" t="s">
        <v>77</v>
      </c>
      <c r="H123" s="1" t="s">
        <v>72</v>
      </c>
      <c r="I123" s="1" t="s">
        <v>73</v>
      </c>
      <c r="J123" s="2">
        <v>44579</v>
      </c>
      <c r="K123" s="25">
        <f t="shared" si="1"/>
        <v>119.98</v>
      </c>
    </row>
    <row r="124" spans="1:11" ht="29.5" thickBot="1" x14ac:dyDescent="0.4">
      <c r="A124" s="1" t="s">
        <v>283</v>
      </c>
      <c r="B124" s="1" t="s">
        <v>100</v>
      </c>
      <c r="C124" s="1" t="s">
        <v>101</v>
      </c>
      <c r="D124" s="1" t="s">
        <v>28</v>
      </c>
      <c r="E124" s="3">
        <v>4</v>
      </c>
      <c r="F124" s="26">
        <v>149.99</v>
      </c>
      <c r="G124" s="1" t="s">
        <v>77</v>
      </c>
      <c r="H124" s="1" t="s">
        <v>89</v>
      </c>
      <c r="I124" s="1" t="s">
        <v>78</v>
      </c>
      <c r="J124" s="2">
        <v>45076</v>
      </c>
      <c r="K124" s="25">
        <f t="shared" si="1"/>
        <v>599.96</v>
      </c>
    </row>
    <row r="125" spans="1:11" ht="29.5" thickBot="1" x14ac:dyDescent="0.4">
      <c r="A125" s="1" t="s">
        <v>260</v>
      </c>
      <c r="B125" s="1" t="s">
        <v>128</v>
      </c>
      <c r="C125" s="1" t="s">
        <v>129</v>
      </c>
      <c r="D125" s="1" t="s">
        <v>28</v>
      </c>
      <c r="E125" s="3">
        <v>2</v>
      </c>
      <c r="F125" s="26">
        <v>699.99</v>
      </c>
      <c r="G125" s="1" t="s">
        <v>105</v>
      </c>
      <c r="H125" s="1" t="s">
        <v>111</v>
      </c>
      <c r="I125" s="1" t="s">
        <v>78</v>
      </c>
      <c r="J125" s="2">
        <v>45274</v>
      </c>
      <c r="K125" s="25">
        <f t="shared" si="1"/>
        <v>1399.98</v>
      </c>
    </row>
    <row r="126" spans="1:11" ht="29.5" thickBot="1" x14ac:dyDescent="0.4">
      <c r="A126" s="1" t="s">
        <v>280</v>
      </c>
      <c r="B126" s="1" t="s">
        <v>93</v>
      </c>
      <c r="C126" s="1" t="s">
        <v>94</v>
      </c>
      <c r="D126" s="1" t="s">
        <v>29</v>
      </c>
      <c r="E126" s="3">
        <v>3</v>
      </c>
      <c r="F126" s="26">
        <v>149.99</v>
      </c>
      <c r="G126" s="1" t="s">
        <v>77</v>
      </c>
      <c r="H126" s="1" t="s">
        <v>52</v>
      </c>
      <c r="I126" s="1" t="s">
        <v>85</v>
      </c>
      <c r="J126" s="2">
        <v>44940</v>
      </c>
      <c r="K126" s="25">
        <f t="shared" si="1"/>
        <v>449.97</v>
      </c>
    </row>
    <row r="127" spans="1:11" ht="29.5" thickBot="1" x14ac:dyDescent="0.4">
      <c r="A127" s="1" t="s">
        <v>196</v>
      </c>
      <c r="B127" s="1" t="s">
        <v>153</v>
      </c>
      <c r="C127" s="1" t="s">
        <v>154</v>
      </c>
      <c r="D127" s="1" t="s">
        <v>29</v>
      </c>
      <c r="E127" s="3">
        <v>3</v>
      </c>
      <c r="F127" s="26">
        <v>299.99</v>
      </c>
      <c r="G127" s="1" t="s">
        <v>77</v>
      </c>
      <c r="H127" s="1" t="s">
        <v>72</v>
      </c>
      <c r="I127" s="1" t="s">
        <v>85</v>
      </c>
      <c r="J127" s="2">
        <v>45174</v>
      </c>
      <c r="K127" s="25">
        <f t="shared" si="1"/>
        <v>899.97</v>
      </c>
    </row>
    <row r="128" spans="1:11" ht="29.5" thickBot="1" x14ac:dyDescent="0.4">
      <c r="A128" s="1" t="s">
        <v>132</v>
      </c>
      <c r="B128" s="1" t="s">
        <v>109</v>
      </c>
      <c r="C128" s="1" t="s">
        <v>110</v>
      </c>
      <c r="D128" s="1" t="s">
        <v>28</v>
      </c>
      <c r="E128" s="3">
        <v>3</v>
      </c>
      <c r="F128" s="26">
        <v>899.99</v>
      </c>
      <c r="G128" s="1" t="s">
        <v>84</v>
      </c>
      <c r="H128" s="1" t="s">
        <v>98</v>
      </c>
      <c r="I128" s="1" t="s">
        <v>73</v>
      </c>
      <c r="J128" s="2">
        <v>45215</v>
      </c>
      <c r="K128" s="25">
        <f t="shared" si="1"/>
        <v>2699.9700000000003</v>
      </c>
    </row>
    <row r="129" spans="1:11" ht="29.5" thickBot="1" x14ac:dyDescent="0.4">
      <c r="A129" s="1" t="s">
        <v>145</v>
      </c>
      <c r="B129" s="1" t="s">
        <v>128</v>
      </c>
      <c r="C129" s="1" t="s">
        <v>129</v>
      </c>
      <c r="D129" s="1" t="s">
        <v>28</v>
      </c>
      <c r="E129" s="3">
        <v>5</v>
      </c>
      <c r="F129" s="26">
        <v>699.99</v>
      </c>
      <c r="G129" s="1" t="s">
        <v>71</v>
      </c>
      <c r="H129" s="1" t="s">
        <v>111</v>
      </c>
      <c r="I129" s="1" t="s">
        <v>85</v>
      </c>
      <c r="J129" s="2">
        <v>45008</v>
      </c>
      <c r="K129" s="25">
        <f t="shared" si="1"/>
        <v>3499.95</v>
      </c>
    </row>
    <row r="130" spans="1:11" ht="29.5" thickBot="1" x14ac:dyDescent="0.4">
      <c r="A130" s="1" t="s">
        <v>220</v>
      </c>
      <c r="B130" s="1" t="s">
        <v>128</v>
      </c>
      <c r="C130" s="1" t="s">
        <v>129</v>
      </c>
      <c r="D130" s="1" t="s">
        <v>28</v>
      </c>
      <c r="E130" s="3">
        <v>4</v>
      </c>
      <c r="F130" s="26">
        <v>699.99</v>
      </c>
      <c r="G130" s="1" t="s">
        <v>77</v>
      </c>
      <c r="H130" s="1" t="s">
        <v>72</v>
      </c>
      <c r="I130" s="1" t="s">
        <v>73</v>
      </c>
      <c r="J130" s="2">
        <v>45385</v>
      </c>
      <c r="K130" s="25">
        <f t="shared" si="1"/>
        <v>2799.96</v>
      </c>
    </row>
    <row r="131" spans="1:11" ht="29.5" thickBot="1" x14ac:dyDescent="0.4">
      <c r="A131" s="1" t="s">
        <v>199</v>
      </c>
      <c r="B131" s="1" t="s">
        <v>109</v>
      </c>
      <c r="C131" s="1" t="s">
        <v>110</v>
      </c>
      <c r="D131" s="1" t="s">
        <v>28</v>
      </c>
      <c r="E131" s="3">
        <v>1</v>
      </c>
      <c r="F131" s="26">
        <v>899.99</v>
      </c>
      <c r="G131" s="1" t="s">
        <v>77</v>
      </c>
      <c r="H131" s="1" t="s">
        <v>111</v>
      </c>
      <c r="I131" s="1" t="s">
        <v>85</v>
      </c>
      <c r="J131" s="2">
        <v>45369</v>
      </c>
      <c r="K131" s="25">
        <f t="shared" ref="K131:K194" si="2">F131*E131</f>
        <v>899.99</v>
      </c>
    </row>
    <row r="132" spans="1:11" ht="29.5" thickBot="1" x14ac:dyDescent="0.4">
      <c r="A132" s="1" t="s">
        <v>275</v>
      </c>
      <c r="B132" s="1" t="s">
        <v>100</v>
      </c>
      <c r="C132" s="1" t="s">
        <v>101</v>
      </c>
      <c r="D132" s="1" t="s">
        <v>28</v>
      </c>
      <c r="E132" s="3">
        <v>2</v>
      </c>
      <c r="F132" s="26">
        <v>149.99</v>
      </c>
      <c r="G132" s="1" t="s">
        <v>77</v>
      </c>
      <c r="H132" s="1" t="s">
        <v>98</v>
      </c>
      <c r="I132" s="1" t="s">
        <v>73</v>
      </c>
      <c r="J132" s="2">
        <v>44916</v>
      </c>
      <c r="K132" s="25">
        <f t="shared" si="2"/>
        <v>299.98</v>
      </c>
    </row>
    <row r="133" spans="1:11" ht="29.5" thickBot="1" x14ac:dyDescent="0.4">
      <c r="A133" s="1" t="s">
        <v>275</v>
      </c>
      <c r="B133" s="1" t="s">
        <v>165</v>
      </c>
      <c r="C133" s="1" t="s">
        <v>166</v>
      </c>
      <c r="D133" s="1" t="s">
        <v>28</v>
      </c>
      <c r="E133" s="3">
        <v>3</v>
      </c>
      <c r="F133" s="26">
        <v>89.99</v>
      </c>
      <c r="G133" s="1" t="s">
        <v>84</v>
      </c>
      <c r="H133" s="1" t="s">
        <v>72</v>
      </c>
      <c r="I133" s="1" t="s">
        <v>73</v>
      </c>
      <c r="J133" s="2">
        <v>44551</v>
      </c>
      <c r="K133" s="25">
        <f t="shared" si="2"/>
        <v>269.96999999999997</v>
      </c>
    </row>
    <row r="134" spans="1:11" ht="29.5" thickBot="1" x14ac:dyDescent="0.4">
      <c r="A134" s="1" t="s">
        <v>88</v>
      </c>
      <c r="B134" s="1" t="s">
        <v>100</v>
      </c>
      <c r="C134" s="1" t="s">
        <v>101</v>
      </c>
      <c r="D134" s="1" t="s">
        <v>28</v>
      </c>
      <c r="E134" s="3">
        <v>2</v>
      </c>
      <c r="F134" s="26">
        <v>149.99</v>
      </c>
      <c r="G134" s="1" t="s">
        <v>84</v>
      </c>
      <c r="H134" s="1" t="s">
        <v>72</v>
      </c>
      <c r="I134" s="1" t="s">
        <v>73</v>
      </c>
      <c r="J134" s="2">
        <v>44473</v>
      </c>
      <c r="K134" s="25">
        <f t="shared" si="2"/>
        <v>299.98</v>
      </c>
    </row>
    <row r="135" spans="1:11" ht="29.5" thickBot="1" x14ac:dyDescent="0.4">
      <c r="A135" s="1" t="s">
        <v>203</v>
      </c>
      <c r="B135" s="1" t="s">
        <v>128</v>
      </c>
      <c r="C135" s="1" t="s">
        <v>129</v>
      </c>
      <c r="D135" s="1" t="s">
        <v>28</v>
      </c>
      <c r="E135" s="3">
        <v>2</v>
      </c>
      <c r="F135" s="26">
        <v>699.99</v>
      </c>
      <c r="G135" s="1" t="s">
        <v>71</v>
      </c>
      <c r="H135" s="1" t="s">
        <v>72</v>
      </c>
      <c r="I135" s="1" t="s">
        <v>73</v>
      </c>
      <c r="J135" s="2">
        <v>44992</v>
      </c>
      <c r="K135" s="25">
        <f t="shared" si="2"/>
        <v>1399.98</v>
      </c>
    </row>
    <row r="136" spans="1:11" ht="29.5" thickBot="1" x14ac:dyDescent="0.4">
      <c r="A136" s="1" t="s">
        <v>207</v>
      </c>
      <c r="B136" s="1" t="s">
        <v>128</v>
      </c>
      <c r="C136" s="1" t="s">
        <v>129</v>
      </c>
      <c r="D136" s="1" t="s">
        <v>28</v>
      </c>
      <c r="E136" s="3">
        <v>5</v>
      </c>
      <c r="F136" s="26">
        <v>699.99</v>
      </c>
      <c r="G136" s="1" t="s">
        <v>71</v>
      </c>
      <c r="H136" s="1" t="s">
        <v>89</v>
      </c>
      <c r="I136" s="1" t="s">
        <v>78</v>
      </c>
      <c r="J136" s="2">
        <v>44635</v>
      </c>
      <c r="K136" s="25">
        <f t="shared" si="2"/>
        <v>3499.95</v>
      </c>
    </row>
    <row r="137" spans="1:11" ht="29.5" thickBot="1" x14ac:dyDescent="0.4">
      <c r="A137" s="1" t="s">
        <v>220</v>
      </c>
      <c r="B137" s="1" t="s">
        <v>165</v>
      </c>
      <c r="C137" s="1" t="s">
        <v>166</v>
      </c>
      <c r="D137" s="1" t="s">
        <v>28</v>
      </c>
      <c r="E137" s="3">
        <v>3</v>
      </c>
      <c r="F137" s="26">
        <v>89.99</v>
      </c>
      <c r="G137" s="1" t="s">
        <v>77</v>
      </c>
      <c r="H137" s="1" t="s">
        <v>89</v>
      </c>
      <c r="I137" s="1" t="s">
        <v>85</v>
      </c>
      <c r="J137" s="2">
        <v>44615</v>
      </c>
      <c r="K137" s="25">
        <f t="shared" si="2"/>
        <v>269.96999999999997</v>
      </c>
    </row>
    <row r="138" spans="1:11" ht="29.5" thickBot="1" x14ac:dyDescent="0.4">
      <c r="A138" s="1" t="s">
        <v>68</v>
      </c>
      <c r="B138" s="1" t="s">
        <v>69</v>
      </c>
      <c r="C138" s="1" t="s">
        <v>70</v>
      </c>
      <c r="D138" s="1" t="s">
        <v>28</v>
      </c>
      <c r="E138" s="3">
        <v>5</v>
      </c>
      <c r="F138" s="26">
        <v>249.99</v>
      </c>
      <c r="G138" s="1" t="s">
        <v>77</v>
      </c>
      <c r="H138" s="1" t="s">
        <v>52</v>
      </c>
      <c r="I138" s="1" t="s">
        <v>85</v>
      </c>
      <c r="J138" s="2">
        <v>44881</v>
      </c>
      <c r="K138" s="25">
        <f t="shared" si="2"/>
        <v>1249.95</v>
      </c>
    </row>
    <row r="139" spans="1:11" ht="29.5" thickBot="1" x14ac:dyDescent="0.4">
      <c r="A139" s="1" t="s">
        <v>114</v>
      </c>
      <c r="B139" s="1" t="s">
        <v>153</v>
      </c>
      <c r="C139" s="1" t="s">
        <v>154</v>
      </c>
      <c r="D139" s="1" t="s">
        <v>29</v>
      </c>
      <c r="E139" s="3">
        <v>3</v>
      </c>
      <c r="F139" s="26">
        <v>299.99</v>
      </c>
      <c r="G139" s="1" t="s">
        <v>77</v>
      </c>
      <c r="H139" s="1" t="s">
        <v>52</v>
      </c>
      <c r="I139" s="1" t="s">
        <v>85</v>
      </c>
      <c r="J139" s="2">
        <v>44502</v>
      </c>
      <c r="K139" s="25">
        <f t="shared" si="2"/>
        <v>899.97</v>
      </c>
    </row>
    <row r="140" spans="1:11" ht="29.5" thickBot="1" x14ac:dyDescent="0.4">
      <c r="A140" s="1" t="s">
        <v>148</v>
      </c>
      <c r="B140" s="1" t="s">
        <v>165</v>
      </c>
      <c r="C140" s="1" t="s">
        <v>166</v>
      </c>
      <c r="D140" s="1" t="s">
        <v>28</v>
      </c>
      <c r="E140" s="3">
        <v>3</v>
      </c>
      <c r="F140" s="26">
        <v>89.99</v>
      </c>
      <c r="G140" s="1" t="s">
        <v>77</v>
      </c>
      <c r="H140" s="1" t="s">
        <v>89</v>
      </c>
      <c r="I140" s="1" t="s">
        <v>78</v>
      </c>
      <c r="J140" s="2">
        <v>44420</v>
      </c>
      <c r="K140" s="25">
        <f t="shared" si="2"/>
        <v>269.96999999999997</v>
      </c>
    </row>
    <row r="141" spans="1:11" ht="29.5" thickBot="1" x14ac:dyDescent="0.4">
      <c r="A141" s="1" t="s">
        <v>138</v>
      </c>
      <c r="B141" s="1" t="s">
        <v>93</v>
      </c>
      <c r="C141" s="1" t="s">
        <v>94</v>
      </c>
      <c r="D141" s="1" t="s">
        <v>29</v>
      </c>
      <c r="E141" s="3">
        <v>2</v>
      </c>
      <c r="F141" s="26">
        <v>149.99</v>
      </c>
      <c r="G141" s="1" t="s">
        <v>77</v>
      </c>
      <c r="H141" s="1" t="s">
        <v>98</v>
      </c>
      <c r="I141" s="1" t="s">
        <v>78</v>
      </c>
      <c r="J141" s="2">
        <v>44848</v>
      </c>
      <c r="K141" s="25">
        <f t="shared" si="2"/>
        <v>299.98</v>
      </c>
    </row>
    <row r="142" spans="1:11" ht="29.5" thickBot="1" x14ac:dyDescent="0.4">
      <c r="A142" s="1" t="s">
        <v>234</v>
      </c>
      <c r="B142" s="1" t="s">
        <v>69</v>
      </c>
      <c r="C142" s="1" t="s">
        <v>70</v>
      </c>
      <c r="D142" s="1" t="s">
        <v>28</v>
      </c>
      <c r="E142" s="3">
        <v>1</v>
      </c>
      <c r="F142" s="26">
        <v>249.99</v>
      </c>
      <c r="G142" s="1" t="s">
        <v>77</v>
      </c>
      <c r="H142" s="1" t="s">
        <v>89</v>
      </c>
      <c r="I142" s="1" t="s">
        <v>78</v>
      </c>
      <c r="J142" s="2">
        <v>44828</v>
      </c>
      <c r="K142" s="25">
        <f t="shared" si="2"/>
        <v>249.99</v>
      </c>
    </row>
    <row r="143" spans="1:11" ht="44" thickBot="1" x14ac:dyDescent="0.4">
      <c r="A143" s="1" t="s">
        <v>121</v>
      </c>
      <c r="B143" s="1" t="s">
        <v>100</v>
      </c>
      <c r="C143" s="1" t="s">
        <v>101</v>
      </c>
      <c r="D143" s="1" t="s">
        <v>28</v>
      </c>
      <c r="E143" s="3">
        <v>3</v>
      </c>
      <c r="F143" s="26">
        <v>149.99</v>
      </c>
      <c r="G143" s="1" t="s">
        <v>71</v>
      </c>
      <c r="H143" s="1" t="s">
        <v>89</v>
      </c>
      <c r="I143" s="1" t="s">
        <v>73</v>
      </c>
      <c r="J143" s="2">
        <v>44769</v>
      </c>
      <c r="K143" s="25">
        <f t="shared" si="2"/>
        <v>449.97</v>
      </c>
    </row>
    <row r="144" spans="1:11" ht="29.5" thickBot="1" x14ac:dyDescent="0.4">
      <c r="A144" s="1" t="s">
        <v>68</v>
      </c>
      <c r="B144" s="1" t="s">
        <v>82</v>
      </c>
      <c r="C144" s="1" t="s">
        <v>83</v>
      </c>
      <c r="D144" s="1" t="s">
        <v>27</v>
      </c>
      <c r="E144" s="3">
        <v>5</v>
      </c>
      <c r="F144" s="26">
        <v>59.99</v>
      </c>
      <c r="G144" s="1" t="s">
        <v>84</v>
      </c>
      <c r="H144" s="1" t="s">
        <v>98</v>
      </c>
      <c r="I144" s="1" t="s">
        <v>78</v>
      </c>
      <c r="J144" s="2">
        <v>44694</v>
      </c>
      <c r="K144" s="25">
        <f t="shared" si="2"/>
        <v>299.95</v>
      </c>
    </row>
    <row r="145" spans="1:11" ht="29.5" thickBot="1" x14ac:dyDescent="0.4">
      <c r="A145" s="1" t="s">
        <v>148</v>
      </c>
      <c r="B145" s="1" t="s">
        <v>69</v>
      </c>
      <c r="C145" s="1" t="s">
        <v>70</v>
      </c>
      <c r="D145" s="1" t="s">
        <v>28</v>
      </c>
      <c r="E145" s="3">
        <v>4</v>
      </c>
      <c r="F145" s="26">
        <v>249.99</v>
      </c>
      <c r="G145" s="1" t="s">
        <v>77</v>
      </c>
      <c r="H145" s="1" t="s">
        <v>98</v>
      </c>
      <c r="I145" s="1" t="s">
        <v>85</v>
      </c>
      <c r="J145" s="2">
        <v>44659</v>
      </c>
      <c r="K145" s="25">
        <f t="shared" si="2"/>
        <v>999.96</v>
      </c>
    </row>
    <row r="146" spans="1:11" ht="29.5" thickBot="1" x14ac:dyDescent="0.4">
      <c r="A146" s="1" t="s">
        <v>203</v>
      </c>
      <c r="B146" s="1" t="s">
        <v>93</v>
      </c>
      <c r="C146" s="1" t="s">
        <v>94</v>
      </c>
      <c r="D146" s="1" t="s">
        <v>29</v>
      </c>
      <c r="E146" s="3">
        <v>5</v>
      </c>
      <c r="F146" s="26">
        <v>149.99</v>
      </c>
      <c r="G146" s="1" t="s">
        <v>84</v>
      </c>
      <c r="H146" s="1" t="s">
        <v>72</v>
      </c>
      <c r="I146" s="1" t="s">
        <v>73</v>
      </c>
      <c r="J146" s="2">
        <v>44901</v>
      </c>
      <c r="K146" s="25">
        <f t="shared" si="2"/>
        <v>749.95</v>
      </c>
    </row>
    <row r="147" spans="1:11" ht="29.5" thickBot="1" x14ac:dyDescent="0.4">
      <c r="A147" s="1" t="s">
        <v>132</v>
      </c>
      <c r="B147" s="1" t="s">
        <v>82</v>
      </c>
      <c r="C147" s="1" t="s">
        <v>83</v>
      </c>
      <c r="D147" s="1" t="s">
        <v>27</v>
      </c>
      <c r="E147" s="3">
        <v>3</v>
      </c>
      <c r="F147" s="26">
        <v>59.99</v>
      </c>
      <c r="G147" s="1" t="s">
        <v>105</v>
      </c>
      <c r="H147" s="1" t="s">
        <v>52</v>
      </c>
      <c r="I147" s="1" t="s">
        <v>85</v>
      </c>
      <c r="J147" s="2">
        <v>45260</v>
      </c>
      <c r="K147" s="25">
        <f t="shared" si="2"/>
        <v>179.97</v>
      </c>
    </row>
    <row r="148" spans="1:11" ht="29.5" thickBot="1" x14ac:dyDescent="0.4">
      <c r="A148" s="1" t="s">
        <v>283</v>
      </c>
      <c r="B148" s="1" t="s">
        <v>93</v>
      </c>
      <c r="C148" s="1" t="s">
        <v>94</v>
      </c>
      <c r="D148" s="1" t="s">
        <v>29</v>
      </c>
      <c r="E148" s="3">
        <v>5</v>
      </c>
      <c r="F148" s="26">
        <v>149.99</v>
      </c>
      <c r="G148" s="1" t="s">
        <v>71</v>
      </c>
      <c r="H148" s="1" t="s">
        <v>89</v>
      </c>
      <c r="I148" s="1" t="s">
        <v>73</v>
      </c>
      <c r="J148" s="2">
        <v>44869</v>
      </c>
      <c r="K148" s="25">
        <f t="shared" si="2"/>
        <v>749.95</v>
      </c>
    </row>
    <row r="149" spans="1:11" ht="29.5" thickBot="1" x14ac:dyDescent="0.4">
      <c r="A149" s="1" t="s">
        <v>135</v>
      </c>
      <c r="B149" s="1" t="s">
        <v>128</v>
      </c>
      <c r="C149" s="1" t="s">
        <v>129</v>
      </c>
      <c r="D149" s="1" t="s">
        <v>28</v>
      </c>
      <c r="E149" s="3">
        <v>2</v>
      </c>
      <c r="F149" s="26">
        <v>699.99</v>
      </c>
      <c r="G149" s="1" t="s">
        <v>84</v>
      </c>
      <c r="H149" s="1" t="s">
        <v>98</v>
      </c>
      <c r="I149" s="1" t="s">
        <v>85</v>
      </c>
      <c r="J149" s="2">
        <v>44770</v>
      </c>
      <c r="K149" s="25">
        <f t="shared" si="2"/>
        <v>1399.98</v>
      </c>
    </row>
    <row r="150" spans="1:11" ht="29.5" thickBot="1" x14ac:dyDescent="0.4">
      <c r="A150" s="1" t="s">
        <v>172</v>
      </c>
      <c r="B150" s="1" t="s">
        <v>174</v>
      </c>
      <c r="C150" s="1" t="s">
        <v>175</v>
      </c>
      <c r="D150" s="1" t="s">
        <v>29</v>
      </c>
      <c r="E150" s="3">
        <v>4</v>
      </c>
      <c r="F150" s="26">
        <v>199.99</v>
      </c>
      <c r="G150" s="1" t="s">
        <v>105</v>
      </c>
      <c r="H150" s="1" t="s">
        <v>72</v>
      </c>
      <c r="I150" s="1" t="s">
        <v>78</v>
      </c>
      <c r="J150" s="2">
        <v>44427</v>
      </c>
      <c r="K150" s="25">
        <f t="shared" si="2"/>
        <v>799.96</v>
      </c>
    </row>
    <row r="151" spans="1:11" ht="29.5" thickBot="1" x14ac:dyDescent="0.4">
      <c r="A151" s="1" t="s">
        <v>241</v>
      </c>
      <c r="B151" s="1" t="s">
        <v>82</v>
      </c>
      <c r="C151" s="1" t="s">
        <v>83</v>
      </c>
      <c r="D151" s="1" t="s">
        <v>27</v>
      </c>
      <c r="E151" s="3">
        <v>1</v>
      </c>
      <c r="F151" s="26">
        <v>59.99</v>
      </c>
      <c r="G151" s="1" t="s">
        <v>105</v>
      </c>
      <c r="H151" s="1" t="s">
        <v>98</v>
      </c>
      <c r="I151" s="1" t="s">
        <v>85</v>
      </c>
      <c r="J151" s="2">
        <v>44560</v>
      </c>
      <c r="K151" s="25">
        <f t="shared" si="2"/>
        <v>59.99</v>
      </c>
    </row>
    <row r="152" spans="1:11" ht="29.5" thickBot="1" x14ac:dyDescent="0.4">
      <c r="A152" s="1" t="s">
        <v>203</v>
      </c>
      <c r="B152" s="1" t="s">
        <v>128</v>
      </c>
      <c r="C152" s="1" t="s">
        <v>129</v>
      </c>
      <c r="D152" s="1" t="s">
        <v>28</v>
      </c>
      <c r="E152" s="3">
        <v>3</v>
      </c>
      <c r="F152" s="26">
        <v>699.99</v>
      </c>
      <c r="G152" s="1" t="s">
        <v>84</v>
      </c>
      <c r="H152" s="1" t="s">
        <v>98</v>
      </c>
      <c r="I152" s="1" t="s">
        <v>85</v>
      </c>
      <c r="J152" s="2">
        <v>44583</v>
      </c>
      <c r="K152" s="25">
        <f t="shared" si="2"/>
        <v>2099.9700000000003</v>
      </c>
    </row>
    <row r="153" spans="1:11" ht="29.5" thickBot="1" x14ac:dyDescent="0.4">
      <c r="A153" s="1" t="s">
        <v>342</v>
      </c>
      <c r="B153" s="1" t="s">
        <v>69</v>
      </c>
      <c r="C153" s="1" t="s">
        <v>70</v>
      </c>
      <c r="D153" s="1" t="s">
        <v>28</v>
      </c>
      <c r="E153" s="3">
        <v>5</v>
      </c>
      <c r="F153" s="26">
        <v>249.99</v>
      </c>
      <c r="G153" s="1" t="s">
        <v>77</v>
      </c>
      <c r="H153" s="1" t="s">
        <v>89</v>
      </c>
      <c r="I153" s="1" t="s">
        <v>73</v>
      </c>
      <c r="J153" s="2">
        <v>44873</v>
      </c>
      <c r="K153" s="25">
        <f t="shared" si="2"/>
        <v>1249.95</v>
      </c>
    </row>
    <row r="154" spans="1:11" ht="29.5" thickBot="1" x14ac:dyDescent="0.4">
      <c r="A154" s="1" t="s">
        <v>161</v>
      </c>
      <c r="B154" s="1" t="s">
        <v>93</v>
      </c>
      <c r="C154" s="1" t="s">
        <v>94</v>
      </c>
      <c r="D154" s="1" t="s">
        <v>29</v>
      </c>
      <c r="E154" s="3">
        <v>2</v>
      </c>
      <c r="F154" s="26">
        <v>149.99</v>
      </c>
      <c r="G154" s="1" t="s">
        <v>71</v>
      </c>
      <c r="H154" s="1" t="s">
        <v>52</v>
      </c>
      <c r="I154" s="1" t="s">
        <v>85</v>
      </c>
      <c r="J154" s="2">
        <v>45101</v>
      </c>
      <c r="K154" s="25">
        <f t="shared" si="2"/>
        <v>299.98</v>
      </c>
    </row>
    <row r="155" spans="1:11" ht="29.5" thickBot="1" x14ac:dyDescent="0.4">
      <c r="A155" s="1" t="s">
        <v>81</v>
      </c>
      <c r="B155" s="1" t="s">
        <v>153</v>
      </c>
      <c r="C155" s="1" t="s">
        <v>154</v>
      </c>
      <c r="D155" s="1" t="s">
        <v>29</v>
      </c>
      <c r="E155" s="3">
        <v>3</v>
      </c>
      <c r="F155" s="26">
        <v>299.99</v>
      </c>
      <c r="G155" s="1" t="s">
        <v>71</v>
      </c>
      <c r="H155" s="1" t="s">
        <v>52</v>
      </c>
      <c r="I155" s="1" t="s">
        <v>78</v>
      </c>
      <c r="J155" s="2">
        <v>44659</v>
      </c>
      <c r="K155" s="25">
        <f t="shared" si="2"/>
        <v>899.97</v>
      </c>
    </row>
    <row r="156" spans="1:11" ht="29.5" thickBot="1" x14ac:dyDescent="0.4">
      <c r="A156" s="1" t="s">
        <v>104</v>
      </c>
      <c r="B156" s="1" t="s">
        <v>69</v>
      </c>
      <c r="C156" s="1" t="s">
        <v>70</v>
      </c>
      <c r="D156" s="1" t="s">
        <v>28</v>
      </c>
      <c r="E156" s="3">
        <v>5</v>
      </c>
      <c r="F156" s="26">
        <v>249.99</v>
      </c>
      <c r="G156" s="1" t="s">
        <v>71</v>
      </c>
      <c r="H156" s="1" t="s">
        <v>72</v>
      </c>
      <c r="I156" s="1" t="s">
        <v>78</v>
      </c>
      <c r="J156" s="2">
        <v>44485</v>
      </c>
      <c r="K156" s="25">
        <f t="shared" si="2"/>
        <v>1249.95</v>
      </c>
    </row>
    <row r="157" spans="1:11" ht="29.5" thickBot="1" x14ac:dyDescent="0.4">
      <c r="A157" s="1" t="s">
        <v>76</v>
      </c>
      <c r="B157" s="1" t="s">
        <v>100</v>
      </c>
      <c r="C157" s="1" t="s">
        <v>101</v>
      </c>
      <c r="D157" s="1" t="s">
        <v>28</v>
      </c>
      <c r="E157" s="3">
        <v>2</v>
      </c>
      <c r="F157" s="26">
        <v>149.99</v>
      </c>
      <c r="G157" s="1" t="s">
        <v>71</v>
      </c>
      <c r="H157" s="1" t="s">
        <v>52</v>
      </c>
      <c r="I157" s="1" t="s">
        <v>78</v>
      </c>
      <c r="J157" s="2">
        <v>44475</v>
      </c>
      <c r="K157" s="25">
        <f t="shared" si="2"/>
        <v>299.98</v>
      </c>
    </row>
    <row r="158" spans="1:11" ht="29.5" thickBot="1" x14ac:dyDescent="0.4">
      <c r="A158" s="1" t="s">
        <v>135</v>
      </c>
      <c r="B158" s="1" t="s">
        <v>128</v>
      </c>
      <c r="C158" s="1" t="s">
        <v>129</v>
      </c>
      <c r="D158" s="1" t="s">
        <v>28</v>
      </c>
      <c r="E158" s="3">
        <v>5</v>
      </c>
      <c r="F158" s="26">
        <v>699.99</v>
      </c>
      <c r="G158" s="1" t="s">
        <v>105</v>
      </c>
      <c r="H158" s="1" t="s">
        <v>98</v>
      </c>
      <c r="I158" s="1" t="s">
        <v>85</v>
      </c>
      <c r="J158" s="2">
        <v>44944</v>
      </c>
      <c r="K158" s="25">
        <f t="shared" si="2"/>
        <v>3499.95</v>
      </c>
    </row>
    <row r="159" spans="1:11" ht="29.5" thickBot="1" x14ac:dyDescent="0.4">
      <c r="A159" s="1" t="s">
        <v>301</v>
      </c>
      <c r="B159" s="1" t="s">
        <v>69</v>
      </c>
      <c r="C159" s="1" t="s">
        <v>70</v>
      </c>
      <c r="D159" s="1" t="s">
        <v>28</v>
      </c>
      <c r="E159" s="3">
        <v>4</v>
      </c>
      <c r="F159" s="26">
        <v>249.99</v>
      </c>
      <c r="G159" s="1" t="s">
        <v>84</v>
      </c>
      <c r="H159" s="1" t="s">
        <v>111</v>
      </c>
      <c r="I159" s="1" t="s">
        <v>78</v>
      </c>
      <c r="J159" s="2">
        <v>45098</v>
      </c>
      <c r="K159" s="25">
        <f t="shared" si="2"/>
        <v>999.96</v>
      </c>
    </row>
    <row r="160" spans="1:11" ht="29.5" thickBot="1" x14ac:dyDescent="0.4">
      <c r="A160" s="1" t="s">
        <v>97</v>
      </c>
      <c r="B160" s="1" t="s">
        <v>128</v>
      </c>
      <c r="C160" s="1" t="s">
        <v>129</v>
      </c>
      <c r="D160" s="1" t="s">
        <v>28</v>
      </c>
      <c r="E160" s="3">
        <v>4</v>
      </c>
      <c r="F160" s="26">
        <v>699.99</v>
      </c>
      <c r="G160" s="1" t="s">
        <v>77</v>
      </c>
      <c r="H160" s="1" t="s">
        <v>89</v>
      </c>
      <c r="I160" s="1" t="s">
        <v>78</v>
      </c>
      <c r="J160" s="2">
        <v>44703</v>
      </c>
      <c r="K160" s="25">
        <f t="shared" si="2"/>
        <v>2799.96</v>
      </c>
    </row>
    <row r="161" spans="1:11" ht="29.5" thickBot="1" x14ac:dyDescent="0.4">
      <c r="A161" s="1" t="s">
        <v>157</v>
      </c>
      <c r="B161" s="1" t="s">
        <v>69</v>
      </c>
      <c r="C161" s="1" t="s">
        <v>70</v>
      </c>
      <c r="D161" s="1" t="s">
        <v>28</v>
      </c>
      <c r="E161" s="3">
        <v>2</v>
      </c>
      <c r="F161" s="26">
        <v>249.99</v>
      </c>
      <c r="G161" s="1" t="s">
        <v>77</v>
      </c>
      <c r="H161" s="1" t="s">
        <v>72</v>
      </c>
      <c r="I161" s="1" t="s">
        <v>78</v>
      </c>
      <c r="J161" s="2">
        <v>44396</v>
      </c>
      <c r="K161" s="25">
        <f t="shared" si="2"/>
        <v>499.98</v>
      </c>
    </row>
    <row r="162" spans="1:11" ht="29.5" thickBot="1" x14ac:dyDescent="0.4">
      <c r="A162" s="1" t="s">
        <v>353</v>
      </c>
      <c r="B162" s="1" t="s">
        <v>82</v>
      </c>
      <c r="C162" s="1" t="s">
        <v>83</v>
      </c>
      <c r="D162" s="1" t="s">
        <v>27</v>
      </c>
      <c r="E162" s="3">
        <v>3</v>
      </c>
      <c r="F162" s="26">
        <v>59.99</v>
      </c>
      <c r="G162" s="1" t="s">
        <v>71</v>
      </c>
      <c r="H162" s="1" t="s">
        <v>72</v>
      </c>
      <c r="I162" s="1" t="s">
        <v>78</v>
      </c>
      <c r="J162" s="2">
        <v>45052</v>
      </c>
      <c r="K162" s="25">
        <f t="shared" si="2"/>
        <v>179.97</v>
      </c>
    </row>
    <row r="163" spans="1:11" ht="29.5" thickBot="1" x14ac:dyDescent="0.4">
      <c r="A163" s="1" t="s">
        <v>190</v>
      </c>
      <c r="B163" s="1" t="s">
        <v>162</v>
      </c>
      <c r="C163" s="1" t="s">
        <v>163</v>
      </c>
      <c r="D163" s="1" t="s">
        <v>27</v>
      </c>
      <c r="E163" s="3">
        <v>4</v>
      </c>
      <c r="F163" s="26">
        <v>79.989999999999995</v>
      </c>
      <c r="G163" s="1" t="s">
        <v>105</v>
      </c>
      <c r="H163" s="1" t="s">
        <v>111</v>
      </c>
      <c r="I163" s="1" t="s">
        <v>85</v>
      </c>
      <c r="J163" s="2">
        <v>44921</v>
      </c>
      <c r="K163" s="25">
        <f t="shared" si="2"/>
        <v>319.95999999999998</v>
      </c>
    </row>
    <row r="164" spans="1:11" ht="29.5" thickBot="1" x14ac:dyDescent="0.4">
      <c r="A164" s="1" t="s">
        <v>169</v>
      </c>
      <c r="B164" s="1" t="s">
        <v>162</v>
      </c>
      <c r="C164" s="1" t="s">
        <v>163</v>
      </c>
      <c r="D164" s="1" t="s">
        <v>27</v>
      </c>
      <c r="E164" s="3">
        <v>3</v>
      </c>
      <c r="F164" s="26">
        <v>79.989999999999995</v>
      </c>
      <c r="G164" s="1" t="s">
        <v>105</v>
      </c>
      <c r="H164" s="1" t="s">
        <v>111</v>
      </c>
      <c r="I164" s="1" t="s">
        <v>85</v>
      </c>
      <c r="J164" s="2">
        <v>44779</v>
      </c>
      <c r="K164" s="25">
        <f t="shared" si="2"/>
        <v>239.96999999999997</v>
      </c>
    </row>
    <row r="165" spans="1:11" ht="44" thickBot="1" x14ac:dyDescent="0.4">
      <c r="A165" s="1" t="s">
        <v>121</v>
      </c>
      <c r="B165" s="1" t="s">
        <v>109</v>
      </c>
      <c r="C165" s="1" t="s">
        <v>110</v>
      </c>
      <c r="D165" s="1" t="s">
        <v>28</v>
      </c>
      <c r="E165" s="3">
        <v>2</v>
      </c>
      <c r="F165" s="26">
        <v>899.99</v>
      </c>
      <c r="G165" s="1" t="s">
        <v>71</v>
      </c>
      <c r="H165" s="1" t="s">
        <v>89</v>
      </c>
      <c r="I165" s="1" t="s">
        <v>73</v>
      </c>
      <c r="J165" s="2">
        <v>44406</v>
      </c>
      <c r="K165" s="25">
        <f t="shared" si="2"/>
        <v>1799.98</v>
      </c>
    </row>
    <row r="166" spans="1:11" ht="29.5" thickBot="1" x14ac:dyDescent="0.4">
      <c r="A166" s="1" t="s">
        <v>231</v>
      </c>
      <c r="B166" s="1" t="s">
        <v>93</v>
      </c>
      <c r="C166" s="1" t="s">
        <v>94</v>
      </c>
      <c r="D166" s="1" t="s">
        <v>29</v>
      </c>
      <c r="E166" s="3">
        <v>1</v>
      </c>
      <c r="F166" s="26">
        <v>149.99</v>
      </c>
      <c r="G166" s="1" t="s">
        <v>105</v>
      </c>
      <c r="H166" s="1" t="s">
        <v>111</v>
      </c>
      <c r="I166" s="1" t="s">
        <v>85</v>
      </c>
      <c r="J166" s="2">
        <v>45200</v>
      </c>
      <c r="K166" s="25">
        <f t="shared" si="2"/>
        <v>149.99</v>
      </c>
    </row>
    <row r="167" spans="1:11" ht="29.5" thickBot="1" x14ac:dyDescent="0.4">
      <c r="A167" s="1" t="s">
        <v>187</v>
      </c>
      <c r="B167" s="1" t="s">
        <v>153</v>
      </c>
      <c r="C167" s="1" t="s">
        <v>154</v>
      </c>
      <c r="D167" s="1" t="s">
        <v>29</v>
      </c>
      <c r="E167" s="3">
        <v>2</v>
      </c>
      <c r="F167" s="26">
        <v>299.99</v>
      </c>
      <c r="G167" s="1" t="s">
        <v>71</v>
      </c>
      <c r="H167" s="1" t="s">
        <v>111</v>
      </c>
      <c r="I167" s="1" t="s">
        <v>78</v>
      </c>
      <c r="J167" s="2">
        <v>44724</v>
      </c>
      <c r="K167" s="25">
        <f t="shared" si="2"/>
        <v>599.98</v>
      </c>
    </row>
    <row r="168" spans="1:11" ht="29.5" thickBot="1" x14ac:dyDescent="0.4">
      <c r="A168" s="1" t="s">
        <v>181</v>
      </c>
      <c r="B168" s="1" t="s">
        <v>82</v>
      </c>
      <c r="C168" s="1" t="s">
        <v>83</v>
      </c>
      <c r="D168" s="1" t="s">
        <v>27</v>
      </c>
      <c r="E168" s="3">
        <v>2</v>
      </c>
      <c r="F168" s="26">
        <v>59.99</v>
      </c>
      <c r="G168" s="1" t="s">
        <v>71</v>
      </c>
      <c r="H168" s="1" t="s">
        <v>98</v>
      </c>
      <c r="I168" s="1" t="s">
        <v>73</v>
      </c>
      <c r="J168" s="2">
        <v>45191</v>
      </c>
      <c r="K168" s="25">
        <f t="shared" si="2"/>
        <v>119.98</v>
      </c>
    </row>
    <row r="169" spans="1:11" ht="29.5" thickBot="1" x14ac:dyDescent="0.4">
      <c r="A169" s="1" t="s">
        <v>231</v>
      </c>
      <c r="B169" s="1" t="s">
        <v>165</v>
      </c>
      <c r="C169" s="1" t="s">
        <v>166</v>
      </c>
      <c r="D169" s="1" t="s">
        <v>28</v>
      </c>
      <c r="E169" s="3">
        <v>1</v>
      </c>
      <c r="F169" s="26">
        <v>89.99</v>
      </c>
      <c r="G169" s="1" t="s">
        <v>105</v>
      </c>
      <c r="H169" s="1" t="s">
        <v>72</v>
      </c>
      <c r="I169" s="1" t="s">
        <v>85</v>
      </c>
      <c r="J169" s="2">
        <v>44760</v>
      </c>
      <c r="K169" s="25">
        <f t="shared" si="2"/>
        <v>89.99</v>
      </c>
    </row>
    <row r="170" spans="1:11" ht="29.5" thickBot="1" x14ac:dyDescent="0.4">
      <c r="A170" s="1" t="s">
        <v>196</v>
      </c>
      <c r="B170" s="1" t="s">
        <v>109</v>
      </c>
      <c r="C170" s="1" t="s">
        <v>110</v>
      </c>
      <c r="D170" s="1" t="s">
        <v>28</v>
      </c>
      <c r="E170" s="3">
        <v>5</v>
      </c>
      <c r="F170" s="26">
        <v>899.99</v>
      </c>
      <c r="G170" s="1" t="s">
        <v>105</v>
      </c>
      <c r="H170" s="1" t="s">
        <v>111</v>
      </c>
      <c r="I170" s="1" t="s">
        <v>85</v>
      </c>
      <c r="J170" s="2">
        <v>44625</v>
      </c>
      <c r="K170" s="25">
        <f t="shared" si="2"/>
        <v>4499.95</v>
      </c>
    </row>
    <row r="171" spans="1:11" ht="29.5" thickBot="1" x14ac:dyDescent="0.4">
      <c r="A171" s="1" t="s">
        <v>92</v>
      </c>
      <c r="B171" s="1" t="s">
        <v>93</v>
      </c>
      <c r="C171" s="1" t="s">
        <v>94</v>
      </c>
      <c r="D171" s="1" t="s">
        <v>29</v>
      </c>
      <c r="E171" s="3">
        <v>2</v>
      </c>
      <c r="F171" s="26">
        <v>149.99</v>
      </c>
      <c r="G171" s="1" t="s">
        <v>71</v>
      </c>
      <c r="H171" s="1" t="s">
        <v>52</v>
      </c>
      <c r="I171" s="1" t="s">
        <v>73</v>
      </c>
      <c r="J171" s="2">
        <v>45239</v>
      </c>
      <c r="K171" s="25">
        <f t="shared" si="2"/>
        <v>299.98</v>
      </c>
    </row>
    <row r="172" spans="1:11" ht="29.5" thickBot="1" x14ac:dyDescent="0.4">
      <c r="A172" s="1" t="s">
        <v>161</v>
      </c>
      <c r="B172" s="1" t="s">
        <v>100</v>
      </c>
      <c r="C172" s="1" t="s">
        <v>101</v>
      </c>
      <c r="D172" s="1" t="s">
        <v>28</v>
      </c>
      <c r="E172" s="3">
        <v>2</v>
      </c>
      <c r="F172" s="26">
        <v>149.99</v>
      </c>
      <c r="G172" s="1" t="s">
        <v>105</v>
      </c>
      <c r="H172" s="1" t="s">
        <v>98</v>
      </c>
      <c r="I172" s="1" t="s">
        <v>78</v>
      </c>
      <c r="J172" s="2">
        <v>45280</v>
      </c>
      <c r="K172" s="25">
        <f t="shared" si="2"/>
        <v>299.98</v>
      </c>
    </row>
    <row r="173" spans="1:11" ht="29.5" thickBot="1" x14ac:dyDescent="0.4">
      <c r="A173" s="1" t="s">
        <v>231</v>
      </c>
      <c r="B173" s="1" t="s">
        <v>93</v>
      </c>
      <c r="C173" s="1" t="s">
        <v>94</v>
      </c>
      <c r="D173" s="1" t="s">
        <v>29</v>
      </c>
      <c r="E173" s="3">
        <v>3</v>
      </c>
      <c r="F173" s="26">
        <v>149.99</v>
      </c>
      <c r="G173" s="1" t="s">
        <v>105</v>
      </c>
      <c r="H173" s="1" t="s">
        <v>89</v>
      </c>
      <c r="I173" s="1" t="s">
        <v>85</v>
      </c>
      <c r="J173" s="2">
        <v>44522</v>
      </c>
      <c r="K173" s="25">
        <f t="shared" si="2"/>
        <v>449.97</v>
      </c>
    </row>
    <row r="174" spans="1:11" ht="29.5" thickBot="1" x14ac:dyDescent="0.4">
      <c r="A174" s="1" t="s">
        <v>81</v>
      </c>
      <c r="B174" s="1" t="s">
        <v>153</v>
      </c>
      <c r="C174" s="1" t="s">
        <v>154</v>
      </c>
      <c r="D174" s="1" t="s">
        <v>29</v>
      </c>
      <c r="E174" s="3">
        <v>2</v>
      </c>
      <c r="F174" s="26">
        <v>299.99</v>
      </c>
      <c r="G174" s="1" t="s">
        <v>84</v>
      </c>
      <c r="H174" s="1" t="s">
        <v>52</v>
      </c>
      <c r="I174" s="1" t="s">
        <v>73</v>
      </c>
      <c r="J174" s="2">
        <v>44721</v>
      </c>
      <c r="K174" s="25">
        <f t="shared" si="2"/>
        <v>599.98</v>
      </c>
    </row>
    <row r="175" spans="1:11" ht="29.5" thickBot="1" x14ac:dyDescent="0.4">
      <c r="A175" s="1" t="s">
        <v>92</v>
      </c>
      <c r="B175" s="1" t="s">
        <v>153</v>
      </c>
      <c r="C175" s="1" t="s">
        <v>154</v>
      </c>
      <c r="D175" s="1" t="s">
        <v>29</v>
      </c>
      <c r="E175" s="3">
        <v>2</v>
      </c>
      <c r="F175" s="26">
        <v>299.99</v>
      </c>
      <c r="G175" s="1" t="s">
        <v>71</v>
      </c>
      <c r="H175" s="1" t="s">
        <v>98</v>
      </c>
      <c r="I175" s="1" t="s">
        <v>73</v>
      </c>
      <c r="J175" s="2">
        <v>44771</v>
      </c>
      <c r="K175" s="25">
        <f t="shared" si="2"/>
        <v>599.98</v>
      </c>
    </row>
    <row r="176" spans="1:11" ht="29.5" thickBot="1" x14ac:dyDescent="0.4">
      <c r="A176" s="1" t="s">
        <v>169</v>
      </c>
      <c r="B176" s="1" t="s">
        <v>174</v>
      </c>
      <c r="C176" s="1" t="s">
        <v>175</v>
      </c>
      <c r="D176" s="1" t="s">
        <v>29</v>
      </c>
      <c r="E176" s="3">
        <v>4</v>
      </c>
      <c r="F176" s="26">
        <v>199.99</v>
      </c>
      <c r="G176" s="1" t="s">
        <v>77</v>
      </c>
      <c r="H176" s="1" t="s">
        <v>72</v>
      </c>
      <c r="I176" s="1" t="s">
        <v>73</v>
      </c>
      <c r="J176" s="2">
        <v>44523</v>
      </c>
      <c r="K176" s="25">
        <f t="shared" si="2"/>
        <v>799.96</v>
      </c>
    </row>
    <row r="177" spans="1:11" ht="29.5" thickBot="1" x14ac:dyDescent="0.4">
      <c r="A177" s="1" t="s">
        <v>108</v>
      </c>
      <c r="B177" s="1" t="s">
        <v>165</v>
      </c>
      <c r="C177" s="1" t="s">
        <v>166</v>
      </c>
      <c r="D177" s="1" t="s">
        <v>28</v>
      </c>
      <c r="E177" s="3">
        <v>1</v>
      </c>
      <c r="F177" s="26">
        <v>89.99</v>
      </c>
      <c r="G177" s="1" t="s">
        <v>77</v>
      </c>
      <c r="H177" s="1" t="s">
        <v>52</v>
      </c>
      <c r="I177" s="1" t="s">
        <v>78</v>
      </c>
      <c r="J177" s="2">
        <v>44591</v>
      </c>
      <c r="K177" s="25">
        <f t="shared" si="2"/>
        <v>89.99</v>
      </c>
    </row>
    <row r="178" spans="1:11" ht="29.5" thickBot="1" x14ac:dyDescent="0.4">
      <c r="A178" s="1" t="s">
        <v>157</v>
      </c>
      <c r="B178" s="1" t="s">
        <v>93</v>
      </c>
      <c r="C178" s="1" t="s">
        <v>94</v>
      </c>
      <c r="D178" s="1" t="s">
        <v>29</v>
      </c>
      <c r="E178" s="3">
        <v>5</v>
      </c>
      <c r="F178" s="26">
        <v>149.99</v>
      </c>
      <c r="G178" s="1" t="s">
        <v>71</v>
      </c>
      <c r="H178" s="1" t="s">
        <v>72</v>
      </c>
      <c r="I178" s="1" t="s">
        <v>78</v>
      </c>
      <c r="J178" s="2">
        <v>45347</v>
      </c>
      <c r="K178" s="25">
        <f t="shared" si="2"/>
        <v>749.95</v>
      </c>
    </row>
    <row r="179" spans="1:11" ht="29.5" thickBot="1" x14ac:dyDescent="0.4">
      <c r="A179" s="1" t="s">
        <v>135</v>
      </c>
      <c r="B179" s="1" t="s">
        <v>109</v>
      </c>
      <c r="C179" s="1" t="s">
        <v>110</v>
      </c>
      <c r="D179" s="1" t="s">
        <v>28</v>
      </c>
      <c r="E179" s="3">
        <v>1</v>
      </c>
      <c r="F179" s="26">
        <v>899.99</v>
      </c>
      <c r="G179" s="1" t="s">
        <v>84</v>
      </c>
      <c r="H179" s="1" t="s">
        <v>89</v>
      </c>
      <c r="I179" s="1" t="s">
        <v>78</v>
      </c>
      <c r="J179" s="2">
        <v>45050</v>
      </c>
      <c r="K179" s="25">
        <f t="shared" si="2"/>
        <v>899.99</v>
      </c>
    </row>
    <row r="180" spans="1:11" ht="29.5" thickBot="1" x14ac:dyDescent="0.4">
      <c r="A180" s="1" t="s">
        <v>196</v>
      </c>
      <c r="B180" s="1" t="s">
        <v>165</v>
      </c>
      <c r="C180" s="1" t="s">
        <v>166</v>
      </c>
      <c r="D180" s="1" t="s">
        <v>28</v>
      </c>
      <c r="E180" s="3">
        <v>2</v>
      </c>
      <c r="F180" s="26">
        <v>89.99</v>
      </c>
      <c r="G180" s="1" t="s">
        <v>77</v>
      </c>
      <c r="H180" s="1" t="s">
        <v>52</v>
      </c>
      <c r="I180" s="1" t="s">
        <v>78</v>
      </c>
      <c r="J180" s="2">
        <v>44564</v>
      </c>
      <c r="K180" s="25">
        <f t="shared" si="2"/>
        <v>179.98</v>
      </c>
    </row>
    <row r="181" spans="1:11" ht="29.5" thickBot="1" x14ac:dyDescent="0.4">
      <c r="A181" s="1" t="s">
        <v>374</v>
      </c>
      <c r="B181" s="1" t="s">
        <v>109</v>
      </c>
      <c r="C181" s="1" t="s">
        <v>110</v>
      </c>
      <c r="D181" s="1" t="s">
        <v>28</v>
      </c>
      <c r="E181" s="3">
        <v>1</v>
      </c>
      <c r="F181" s="26">
        <v>899.99</v>
      </c>
      <c r="G181" s="1" t="s">
        <v>84</v>
      </c>
      <c r="H181" s="1" t="s">
        <v>89</v>
      </c>
      <c r="I181" s="1" t="s">
        <v>85</v>
      </c>
      <c r="J181" s="2">
        <v>44752</v>
      </c>
      <c r="K181" s="25">
        <f t="shared" si="2"/>
        <v>899.99</v>
      </c>
    </row>
    <row r="182" spans="1:11" ht="44" thickBot="1" x14ac:dyDescent="0.4">
      <c r="A182" s="1" t="s">
        <v>178</v>
      </c>
      <c r="B182" s="1" t="s">
        <v>100</v>
      </c>
      <c r="C182" s="1" t="s">
        <v>101</v>
      </c>
      <c r="D182" s="1" t="s">
        <v>28</v>
      </c>
      <c r="E182" s="3">
        <v>5</v>
      </c>
      <c r="F182" s="26">
        <v>149.99</v>
      </c>
      <c r="G182" s="1" t="s">
        <v>84</v>
      </c>
      <c r="H182" s="1" t="s">
        <v>111</v>
      </c>
      <c r="I182" s="1" t="s">
        <v>78</v>
      </c>
      <c r="J182" s="2">
        <v>44824</v>
      </c>
      <c r="K182" s="25">
        <f t="shared" si="2"/>
        <v>749.95</v>
      </c>
    </row>
    <row r="183" spans="1:11" ht="29.5" thickBot="1" x14ac:dyDescent="0.4">
      <c r="A183" s="1" t="s">
        <v>92</v>
      </c>
      <c r="B183" s="1" t="s">
        <v>153</v>
      </c>
      <c r="C183" s="1" t="s">
        <v>154</v>
      </c>
      <c r="D183" s="1" t="s">
        <v>29</v>
      </c>
      <c r="E183" s="3">
        <v>3</v>
      </c>
      <c r="F183" s="26">
        <v>299.99</v>
      </c>
      <c r="G183" s="1" t="s">
        <v>71</v>
      </c>
      <c r="H183" s="1" t="s">
        <v>52</v>
      </c>
      <c r="I183" s="1" t="s">
        <v>85</v>
      </c>
      <c r="J183" s="2">
        <v>44422</v>
      </c>
      <c r="K183" s="25">
        <f t="shared" si="2"/>
        <v>899.97</v>
      </c>
    </row>
    <row r="184" spans="1:11" ht="29.5" thickBot="1" x14ac:dyDescent="0.4">
      <c r="A184" s="1" t="s">
        <v>114</v>
      </c>
      <c r="B184" s="1" t="s">
        <v>128</v>
      </c>
      <c r="C184" s="1" t="s">
        <v>129</v>
      </c>
      <c r="D184" s="1" t="s">
        <v>28</v>
      </c>
      <c r="E184" s="3">
        <v>3</v>
      </c>
      <c r="F184" s="26">
        <v>699.99</v>
      </c>
      <c r="G184" s="1" t="s">
        <v>77</v>
      </c>
      <c r="H184" s="1" t="s">
        <v>72</v>
      </c>
      <c r="I184" s="1" t="s">
        <v>78</v>
      </c>
      <c r="J184" s="2">
        <v>45105</v>
      </c>
      <c r="K184" s="25">
        <f t="shared" si="2"/>
        <v>2099.9700000000003</v>
      </c>
    </row>
    <row r="185" spans="1:11" ht="29.5" thickBot="1" x14ac:dyDescent="0.4">
      <c r="A185" s="1" t="s">
        <v>157</v>
      </c>
      <c r="B185" s="1" t="s">
        <v>174</v>
      </c>
      <c r="C185" s="1" t="s">
        <v>175</v>
      </c>
      <c r="D185" s="1" t="s">
        <v>29</v>
      </c>
      <c r="E185" s="3">
        <v>5</v>
      </c>
      <c r="F185" s="26">
        <v>199.99</v>
      </c>
      <c r="G185" s="1" t="s">
        <v>84</v>
      </c>
      <c r="H185" s="1" t="s">
        <v>72</v>
      </c>
      <c r="I185" s="1" t="s">
        <v>85</v>
      </c>
      <c r="J185" s="2">
        <v>44633</v>
      </c>
      <c r="K185" s="25">
        <f t="shared" si="2"/>
        <v>999.95</v>
      </c>
    </row>
    <row r="186" spans="1:11" ht="29.5" thickBot="1" x14ac:dyDescent="0.4">
      <c r="A186" s="1" t="s">
        <v>142</v>
      </c>
      <c r="B186" s="1" t="s">
        <v>69</v>
      </c>
      <c r="C186" s="1" t="s">
        <v>70</v>
      </c>
      <c r="D186" s="1" t="s">
        <v>28</v>
      </c>
      <c r="E186" s="3">
        <v>5</v>
      </c>
      <c r="F186" s="26">
        <v>249.99</v>
      </c>
      <c r="G186" s="1" t="s">
        <v>77</v>
      </c>
      <c r="H186" s="1" t="s">
        <v>52</v>
      </c>
      <c r="I186" s="1" t="s">
        <v>73</v>
      </c>
      <c r="J186" s="2">
        <v>45330</v>
      </c>
      <c r="K186" s="25">
        <f t="shared" si="2"/>
        <v>1249.95</v>
      </c>
    </row>
    <row r="187" spans="1:11" ht="29.5" thickBot="1" x14ac:dyDescent="0.4">
      <c r="A187" s="1" t="s">
        <v>187</v>
      </c>
      <c r="B187" s="1" t="s">
        <v>100</v>
      </c>
      <c r="C187" s="1" t="s">
        <v>101</v>
      </c>
      <c r="D187" s="1" t="s">
        <v>28</v>
      </c>
      <c r="E187" s="3">
        <v>4</v>
      </c>
      <c r="F187" s="26">
        <v>149.99</v>
      </c>
      <c r="G187" s="1" t="s">
        <v>105</v>
      </c>
      <c r="H187" s="1" t="s">
        <v>111</v>
      </c>
      <c r="I187" s="1" t="s">
        <v>85</v>
      </c>
      <c r="J187" s="2">
        <v>44536</v>
      </c>
      <c r="K187" s="25">
        <f t="shared" si="2"/>
        <v>599.96</v>
      </c>
    </row>
    <row r="188" spans="1:11" ht="29.5" thickBot="1" x14ac:dyDescent="0.4">
      <c r="A188" s="1" t="s">
        <v>127</v>
      </c>
      <c r="B188" s="1" t="s">
        <v>128</v>
      </c>
      <c r="C188" s="1" t="s">
        <v>129</v>
      </c>
      <c r="D188" s="1" t="s">
        <v>28</v>
      </c>
      <c r="E188" s="3">
        <v>3</v>
      </c>
      <c r="F188" s="26">
        <v>699.99</v>
      </c>
      <c r="G188" s="1" t="s">
        <v>71</v>
      </c>
      <c r="H188" s="1" t="s">
        <v>89</v>
      </c>
      <c r="I188" s="1" t="s">
        <v>78</v>
      </c>
      <c r="J188" s="2">
        <v>44602</v>
      </c>
      <c r="K188" s="25">
        <f t="shared" si="2"/>
        <v>2099.9700000000003</v>
      </c>
    </row>
    <row r="189" spans="1:11" ht="29.5" thickBot="1" x14ac:dyDescent="0.4">
      <c r="A189" s="1" t="s">
        <v>342</v>
      </c>
      <c r="B189" s="1" t="s">
        <v>162</v>
      </c>
      <c r="C189" s="1" t="s">
        <v>163</v>
      </c>
      <c r="D189" s="1" t="s">
        <v>27</v>
      </c>
      <c r="E189" s="3">
        <v>1</v>
      </c>
      <c r="F189" s="26">
        <v>79.989999999999995</v>
      </c>
      <c r="G189" s="1" t="s">
        <v>77</v>
      </c>
      <c r="H189" s="1" t="s">
        <v>52</v>
      </c>
      <c r="I189" s="1" t="s">
        <v>73</v>
      </c>
      <c r="J189" s="2">
        <v>45322</v>
      </c>
      <c r="K189" s="25">
        <f t="shared" si="2"/>
        <v>79.989999999999995</v>
      </c>
    </row>
    <row r="190" spans="1:11" ht="29.5" thickBot="1" x14ac:dyDescent="0.4">
      <c r="A190" s="1" t="s">
        <v>135</v>
      </c>
      <c r="B190" s="1" t="s">
        <v>153</v>
      </c>
      <c r="C190" s="1" t="s">
        <v>154</v>
      </c>
      <c r="D190" s="1" t="s">
        <v>29</v>
      </c>
      <c r="E190" s="3">
        <v>1</v>
      </c>
      <c r="F190" s="26">
        <v>299.99</v>
      </c>
      <c r="G190" s="1" t="s">
        <v>77</v>
      </c>
      <c r="H190" s="1" t="s">
        <v>89</v>
      </c>
      <c r="I190" s="1" t="s">
        <v>73</v>
      </c>
      <c r="J190" s="2">
        <v>44436</v>
      </c>
      <c r="K190" s="25">
        <f t="shared" si="2"/>
        <v>299.99</v>
      </c>
    </row>
    <row r="191" spans="1:11" ht="29.5" thickBot="1" x14ac:dyDescent="0.4">
      <c r="A191" s="1" t="s">
        <v>207</v>
      </c>
      <c r="B191" s="1" t="s">
        <v>69</v>
      </c>
      <c r="C191" s="1" t="s">
        <v>70</v>
      </c>
      <c r="D191" s="1" t="s">
        <v>28</v>
      </c>
      <c r="E191" s="3">
        <v>4</v>
      </c>
      <c r="F191" s="26">
        <v>249.99</v>
      </c>
      <c r="G191" s="1" t="s">
        <v>77</v>
      </c>
      <c r="H191" s="1" t="s">
        <v>89</v>
      </c>
      <c r="I191" s="1" t="s">
        <v>78</v>
      </c>
      <c r="J191" s="2">
        <v>44460</v>
      </c>
      <c r="K191" s="25">
        <f t="shared" si="2"/>
        <v>999.96</v>
      </c>
    </row>
    <row r="192" spans="1:11" ht="29.5" thickBot="1" x14ac:dyDescent="0.4">
      <c r="A192" s="1" t="s">
        <v>169</v>
      </c>
      <c r="B192" s="1" t="s">
        <v>100</v>
      </c>
      <c r="C192" s="1" t="s">
        <v>101</v>
      </c>
      <c r="D192" s="1" t="s">
        <v>28</v>
      </c>
      <c r="E192" s="3">
        <v>2</v>
      </c>
      <c r="F192" s="26">
        <v>149.99</v>
      </c>
      <c r="G192" s="1" t="s">
        <v>71</v>
      </c>
      <c r="H192" s="1" t="s">
        <v>89</v>
      </c>
      <c r="I192" s="1" t="s">
        <v>85</v>
      </c>
      <c r="J192" s="2">
        <v>44913</v>
      </c>
      <c r="K192" s="25">
        <f t="shared" si="2"/>
        <v>299.98</v>
      </c>
    </row>
    <row r="193" spans="1:11" ht="29.5" thickBot="1" x14ac:dyDescent="0.4">
      <c r="A193" s="1" t="s">
        <v>283</v>
      </c>
      <c r="B193" s="1" t="s">
        <v>153</v>
      </c>
      <c r="C193" s="1" t="s">
        <v>154</v>
      </c>
      <c r="D193" s="1" t="s">
        <v>29</v>
      </c>
      <c r="E193" s="3">
        <v>3</v>
      </c>
      <c r="F193" s="26">
        <v>299.99</v>
      </c>
      <c r="G193" s="1" t="s">
        <v>77</v>
      </c>
      <c r="H193" s="1" t="s">
        <v>52</v>
      </c>
      <c r="I193" s="1" t="s">
        <v>73</v>
      </c>
      <c r="J193" s="2">
        <v>45204</v>
      </c>
      <c r="K193" s="25">
        <f t="shared" si="2"/>
        <v>899.97</v>
      </c>
    </row>
    <row r="194" spans="1:11" ht="29.5" thickBot="1" x14ac:dyDescent="0.4">
      <c r="A194" s="1" t="s">
        <v>275</v>
      </c>
      <c r="B194" s="1" t="s">
        <v>174</v>
      </c>
      <c r="C194" s="1" t="s">
        <v>175</v>
      </c>
      <c r="D194" s="1" t="s">
        <v>29</v>
      </c>
      <c r="E194" s="3">
        <v>4</v>
      </c>
      <c r="F194" s="26">
        <v>199.99</v>
      </c>
      <c r="G194" s="1" t="s">
        <v>105</v>
      </c>
      <c r="H194" s="1" t="s">
        <v>52</v>
      </c>
      <c r="I194" s="1" t="s">
        <v>85</v>
      </c>
      <c r="J194" s="2">
        <v>44544</v>
      </c>
      <c r="K194" s="25">
        <f t="shared" si="2"/>
        <v>799.96</v>
      </c>
    </row>
    <row r="195" spans="1:11" ht="29.5" thickBot="1" x14ac:dyDescent="0.4">
      <c r="A195" s="1" t="s">
        <v>260</v>
      </c>
      <c r="B195" s="1" t="s">
        <v>153</v>
      </c>
      <c r="C195" s="1" t="s">
        <v>154</v>
      </c>
      <c r="D195" s="1" t="s">
        <v>29</v>
      </c>
      <c r="E195" s="3">
        <v>5</v>
      </c>
      <c r="F195" s="26">
        <v>299.99</v>
      </c>
      <c r="G195" s="1" t="s">
        <v>105</v>
      </c>
      <c r="H195" s="1" t="s">
        <v>72</v>
      </c>
      <c r="I195" s="1" t="s">
        <v>73</v>
      </c>
      <c r="J195" s="2">
        <v>44431</v>
      </c>
      <c r="K195" s="25">
        <f t="shared" ref="K195:K251" si="3">F195*E195</f>
        <v>1499.95</v>
      </c>
    </row>
    <row r="196" spans="1:11" ht="29.5" thickBot="1" x14ac:dyDescent="0.4">
      <c r="A196" s="1" t="s">
        <v>108</v>
      </c>
      <c r="B196" s="1" t="s">
        <v>93</v>
      </c>
      <c r="C196" s="1" t="s">
        <v>94</v>
      </c>
      <c r="D196" s="1" t="s">
        <v>29</v>
      </c>
      <c r="E196" s="3">
        <v>3</v>
      </c>
      <c r="F196" s="26">
        <v>149.99</v>
      </c>
      <c r="G196" s="1" t="s">
        <v>77</v>
      </c>
      <c r="H196" s="1" t="s">
        <v>111</v>
      </c>
      <c r="I196" s="1" t="s">
        <v>85</v>
      </c>
      <c r="J196" s="2">
        <v>44395</v>
      </c>
      <c r="K196" s="25">
        <f t="shared" si="3"/>
        <v>449.97</v>
      </c>
    </row>
    <row r="197" spans="1:11" ht="44" thickBot="1" x14ac:dyDescent="0.4">
      <c r="A197" s="1" t="s">
        <v>178</v>
      </c>
      <c r="B197" s="1" t="s">
        <v>82</v>
      </c>
      <c r="C197" s="1" t="s">
        <v>83</v>
      </c>
      <c r="D197" s="1" t="s">
        <v>27</v>
      </c>
      <c r="E197" s="3">
        <v>5</v>
      </c>
      <c r="F197" s="26">
        <v>59.99</v>
      </c>
      <c r="G197" s="1" t="s">
        <v>105</v>
      </c>
      <c r="H197" s="1" t="s">
        <v>111</v>
      </c>
      <c r="I197" s="1" t="s">
        <v>73</v>
      </c>
      <c r="J197" s="2">
        <v>44642</v>
      </c>
      <c r="K197" s="25">
        <f t="shared" si="3"/>
        <v>299.95</v>
      </c>
    </row>
    <row r="198" spans="1:11" ht="29.5" thickBot="1" x14ac:dyDescent="0.4">
      <c r="A198" s="1" t="s">
        <v>117</v>
      </c>
      <c r="B198" s="1" t="s">
        <v>82</v>
      </c>
      <c r="C198" s="1" t="s">
        <v>83</v>
      </c>
      <c r="D198" s="1" t="s">
        <v>27</v>
      </c>
      <c r="E198" s="3">
        <v>4</v>
      </c>
      <c r="F198" s="26">
        <v>59.99</v>
      </c>
      <c r="G198" s="1" t="s">
        <v>105</v>
      </c>
      <c r="H198" s="1" t="s">
        <v>111</v>
      </c>
      <c r="I198" s="1" t="s">
        <v>85</v>
      </c>
      <c r="J198" s="2">
        <v>44564</v>
      </c>
      <c r="K198" s="25">
        <f t="shared" si="3"/>
        <v>239.96</v>
      </c>
    </row>
    <row r="199" spans="1:11" ht="29.5" thickBot="1" x14ac:dyDescent="0.4">
      <c r="A199" s="1" t="s">
        <v>97</v>
      </c>
      <c r="B199" s="1" t="s">
        <v>69</v>
      </c>
      <c r="C199" s="1" t="s">
        <v>70</v>
      </c>
      <c r="D199" s="1" t="s">
        <v>28</v>
      </c>
      <c r="E199" s="3">
        <v>4</v>
      </c>
      <c r="F199" s="26">
        <v>249.99</v>
      </c>
      <c r="G199" s="1" t="s">
        <v>105</v>
      </c>
      <c r="H199" s="1" t="s">
        <v>72</v>
      </c>
      <c r="I199" s="1" t="s">
        <v>78</v>
      </c>
      <c r="J199" s="2">
        <v>45217</v>
      </c>
      <c r="K199" s="25">
        <f t="shared" si="3"/>
        <v>999.96</v>
      </c>
    </row>
    <row r="200" spans="1:11" ht="29.5" thickBot="1" x14ac:dyDescent="0.4">
      <c r="A200" s="1" t="s">
        <v>301</v>
      </c>
      <c r="B200" s="1" t="s">
        <v>109</v>
      </c>
      <c r="C200" s="1" t="s">
        <v>110</v>
      </c>
      <c r="D200" s="1" t="s">
        <v>28</v>
      </c>
      <c r="E200" s="3">
        <v>4</v>
      </c>
      <c r="F200" s="26">
        <v>899.99</v>
      </c>
      <c r="G200" s="1" t="s">
        <v>84</v>
      </c>
      <c r="H200" s="1" t="s">
        <v>72</v>
      </c>
      <c r="I200" s="1" t="s">
        <v>73</v>
      </c>
      <c r="J200" s="2">
        <v>44734</v>
      </c>
      <c r="K200" s="25">
        <f t="shared" si="3"/>
        <v>3599.96</v>
      </c>
    </row>
    <row r="201" spans="1:11" ht="29.5" thickBot="1" x14ac:dyDescent="0.4">
      <c r="A201" s="1" t="s">
        <v>135</v>
      </c>
      <c r="B201" s="1" t="s">
        <v>153</v>
      </c>
      <c r="C201" s="1" t="s">
        <v>154</v>
      </c>
      <c r="D201" s="1" t="s">
        <v>29</v>
      </c>
      <c r="E201" s="3">
        <v>3</v>
      </c>
      <c r="F201" s="26">
        <v>299.99</v>
      </c>
      <c r="G201" s="1" t="s">
        <v>105</v>
      </c>
      <c r="H201" s="1" t="s">
        <v>98</v>
      </c>
      <c r="I201" s="1" t="s">
        <v>85</v>
      </c>
      <c r="J201" s="2">
        <v>44952</v>
      </c>
      <c r="K201" s="25">
        <f t="shared" si="3"/>
        <v>899.97</v>
      </c>
    </row>
    <row r="202" spans="1:11" ht="29.5" thickBot="1" x14ac:dyDescent="0.4">
      <c r="A202" s="1" t="s">
        <v>342</v>
      </c>
      <c r="B202" s="1" t="s">
        <v>128</v>
      </c>
      <c r="C202" s="1" t="s">
        <v>129</v>
      </c>
      <c r="D202" s="1" t="s">
        <v>28</v>
      </c>
      <c r="E202" s="3">
        <v>2</v>
      </c>
      <c r="F202" s="26">
        <v>699.99</v>
      </c>
      <c r="G202" s="1" t="s">
        <v>105</v>
      </c>
      <c r="H202" s="1" t="s">
        <v>72</v>
      </c>
      <c r="I202" s="1" t="s">
        <v>78</v>
      </c>
      <c r="J202" s="2">
        <v>44681</v>
      </c>
      <c r="K202" s="25">
        <f t="shared" si="3"/>
        <v>1399.98</v>
      </c>
    </row>
    <row r="203" spans="1:11" ht="29.5" thickBot="1" x14ac:dyDescent="0.4">
      <c r="A203" s="1" t="s">
        <v>114</v>
      </c>
      <c r="B203" s="1" t="s">
        <v>128</v>
      </c>
      <c r="C203" s="1" t="s">
        <v>129</v>
      </c>
      <c r="D203" s="1" t="s">
        <v>28</v>
      </c>
      <c r="E203" s="3">
        <v>4</v>
      </c>
      <c r="F203" s="26">
        <v>699.99</v>
      </c>
      <c r="G203" s="1" t="s">
        <v>105</v>
      </c>
      <c r="H203" s="1" t="s">
        <v>98</v>
      </c>
      <c r="I203" s="1" t="s">
        <v>78</v>
      </c>
      <c r="J203" s="2">
        <v>44692</v>
      </c>
      <c r="K203" s="25">
        <f t="shared" si="3"/>
        <v>2799.96</v>
      </c>
    </row>
    <row r="204" spans="1:11" ht="29.5" thickBot="1" x14ac:dyDescent="0.4">
      <c r="A204" s="1" t="s">
        <v>172</v>
      </c>
      <c r="B204" s="1" t="s">
        <v>165</v>
      </c>
      <c r="C204" s="1" t="s">
        <v>166</v>
      </c>
      <c r="D204" s="1" t="s">
        <v>28</v>
      </c>
      <c r="E204" s="3">
        <v>2</v>
      </c>
      <c r="F204" s="26">
        <v>89.99</v>
      </c>
      <c r="G204" s="1" t="s">
        <v>105</v>
      </c>
      <c r="H204" s="1" t="s">
        <v>52</v>
      </c>
      <c r="I204" s="1" t="s">
        <v>73</v>
      </c>
      <c r="J204" s="2">
        <v>44777</v>
      </c>
      <c r="K204" s="25">
        <f t="shared" si="3"/>
        <v>179.98</v>
      </c>
    </row>
    <row r="205" spans="1:11" ht="29.5" thickBot="1" x14ac:dyDescent="0.4">
      <c r="A205" s="1" t="s">
        <v>92</v>
      </c>
      <c r="B205" s="1" t="s">
        <v>165</v>
      </c>
      <c r="C205" s="1" t="s">
        <v>166</v>
      </c>
      <c r="D205" s="1" t="s">
        <v>28</v>
      </c>
      <c r="E205" s="3">
        <v>3</v>
      </c>
      <c r="F205" s="26">
        <v>89.99</v>
      </c>
      <c r="G205" s="1" t="s">
        <v>105</v>
      </c>
      <c r="H205" s="1" t="s">
        <v>52</v>
      </c>
      <c r="I205" s="1" t="s">
        <v>78</v>
      </c>
      <c r="J205" s="2">
        <v>45307</v>
      </c>
      <c r="K205" s="25">
        <f t="shared" si="3"/>
        <v>269.96999999999997</v>
      </c>
    </row>
    <row r="206" spans="1:11" ht="29.5" thickBot="1" x14ac:dyDescent="0.4">
      <c r="A206" s="1" t="s">
        <v>374</v>
      </c>
      <c r="B206" s="1" t="s">
        <v>82</v>
      </c>
      <c r="C206" s="1" t="s">
        <v>83</v>
      </c>
      <c r="D206" s="1" t="s">
        <v>27</v>
      </c>
      <c r="E206" s="3">
        <v>1</v>
      </c>
      <c r="F206" s="26">
        <v>59.99</v>
      </c>
      <c r="G206" s="1" t="s">
        <v>105</v>
      </c>
      <c r="H206" s="1" t="s">
        <v>72</v>
      </c>
      <c r="I206" s="1" t="s">
        <v>85</v>
      </c>
      <c r="J206" s="2">
        <v>45045</v>
      </c>
      <c r="K206" s="25">
        <f t="shared" si="3"/>
        <v>59.99</v>
      </c>
    </row>
    <row r="207" spans="1:11" ht="29.5" thickBot="1" x14ac:dyDescent="0.4">
      <c r="A207" s="1" t="s">
        <v>295</v>
      </c>
      <c r="B207" s="1" t="s">
        <v>93</v>
      </c>
      <c r="C207" s="1" t="s">
        <v>94</v>
      </c>
      <c r="D207" s="1" t="s">
        <v>29</v>
      </c>
      <c r="E207" s="3">
        <v>3</v>
      </c>
      <c r="F207" s="26">
        <v>149.99</v>
      </c>
      <c r="G207" s="1" t="s">
        <v>105</v>
      </c>
      <c r="H207" s="1" t="s">
        <v>89</v>
      </c>
      <c r="I207" s="1" t="s">
        <v>78</v>
      </c>
      <c r="J207" s="2">
        <v>44564</v>
      </c>
      <c r="K207" s="25">
        <f t="shared" si="3"/>
        <v>449.97</v>
      </c>
    </row>
    <row r="208" spans="1:11" ht="29.5" thickBot="1" x14ac:dyDescent="0.4">
      <c r="A208" s="1" t="s">
        <v>142</v>
      </c>
      <c r="B208" s="1" t="s">
        <v>153</v>
      </c>
      <c r="C208" s="1" t="s">
        <v>154</v>
      </c>
      <c r="D208" s="1" t="s">
        <v>29</v>
      </c>
      <c r="E208" s="3">
        <v>5</v>
      </c>
      <c r="F208" s="26">
        <v>299.99</v>
      </c>
      <c r="G208" s="1" t="s">
        <v>77</v>
      </c>
      <c r="H208" s="1" t="s">
        <v>52</v>
      </c>
      <c r="I208" s="1" t="s">
        <v>73</v>
      </c>
      <c r="J208" s="2">
        <v>44959</v>
      </c>
      <c r="K208" s="25">
        <f t="shared" si="3"/>
        <v>1499.95</v>
      </c>
    </row>
    <row r="209" spans="1:11" ht="29.5" thickBot="1" x14ac:dyDescent="0.4">
      <c r="A209" s="1" t="s">
        <v>199</v>
      </c>
      <c r="B209" s="1" t="s">
        <v>82</v>
      </c>
      <c r="C209" s="1" t="s">
        <v>83</v>
      </c>
      <c r="D209" s="1" t="s">
        <v>27</v>
      </c>
      <c r="E209" s="3">
        <v>5</v>
      </c>
      <c r="F209" s="26">
        <v>59.99</v>
      </c>
      <c r="G209" s="1" t="s">
        <v>105</v>
      </c>
      <c r="H209" s="1" t="s">
        <v>72</v>
      </c>
      <c r="I209" s="1" t="s">
        <v>85</v>
      </c>
      <c r="J209" s="2">
        <v>45177</v>
      </c>
      <c r="K209" s="25">
        <f t="shared" si="3"/>
        <v>299.95</v>
      </c>
    </row>
    <row r="210" spans="1:11" ht="29.5" thickBot="1" x14ac:dyDescent="0.4">
      <c r="A210" s="1" t="s">
        <v>157</v>
      </c>
      <c r="B210" s="1" t="s">
        <v>162</v>
      </c>
      <c r="C210" s="1" t="s">
        <v>163</v>
      </c>
      <c r="D210" s="1" t="s">
        <v>27</v>
      </c>
      <c r="E210" s="3">
        <v>3</v>
      </c>
      <c r="F210" s="26">
        <v>79.989999999999995</v>
      </c>
      <c r="G210" s="1" t="s">
        <v>71</v>
      </c>
      <c r="H210" s="1" t="s">
        <v>111</v>
      </c>
      <c r="I210" s="1" t="s">
        <v>78</v>
      </c>
      <c r="J210" s="2">
        <v>44436</v>
      </c>
      <c r="K210" s="25">
        <f t="shared" si="3"/>
        <v>239.96999999999997</v>
      </c>
    </row>
    <row r="211" spans="1:11" ht="29.5" thickBot="1" x14ac:dyDescent="0.4">
      <c r="A211" s="1" t="s">
        <v>81</v>
      </c>
      <c r="B211" s="1" t="s">
        <v>174</v>
      </c>
      <c r="C211" s="1" t="s">
        <v>175</v>
      </c>
      <c r="D211" s="1" t="s">
        <v>29</v>
      </c>
      <c r="E211" s="3">
        <v>3</v>
      </c>
      <c r="F211" s="26">
        <v>199.99</v>
      </c>
      <c r="G211" s="1" t="s">
        <v>71</v>
      </c>
      <c r="H211" s="1" t="s">
        <v>72</v>
      </c>
      <c r="I211" s="1" t="s">
        <v>73</v>
      </c>
      <c r="J211" s="2">
        <v>44735</v>
      </c>
      <c r="K211" s="25">
        <f t="shared" si="3"/>
        <v>599.97</v>
      </c>
    </row>
    <row r="212" spans="1:11" ht="29.5" thickBot="1" x14ac:dyDescent="0.4">
      <c r="A212" s="1" t="s">
        <v>68</v>
      </c>
      <c r="B212" s="1" t="s">
        <v>165</v>
      </c>
      <c r="C212" s="1" t="s">
        <v>166</v>
      </c>
      <c r="D212" s="1" t="s">
        <v>28</v>
      </c>
      <c r="E212" s="3">
        <v>2</v>
      </c>
      <c r="F212" s="26">
        <v>89.99</v>
      </c>
      <c r="G212" s="1" t="s">
        <v>84</v>
      </c>
      <c r="H212" s="1" t="s">
        <v>72</v>
      </c>
      <c r="I212" s="1" t="s">
        <v>73</v>
      </c>
      <c r="J212" s="2">
        <v>45257</v>
      </c>
      <c r="K212" s="25">
        <f t="shared" si="3"/>
        <v>179.98</v>
      </c>
    </row>
    <row r="213" spans="1:11" ht="29.5" thickBot="1" x14ac:dyDescent="0.4">
      <c r="A213" s="1" t="s">
        <v>308</v>
      </c>
      <c r="B213" s="1" t="s">
        <v>93</v>
      </c>
      <c r="C213" s="1" t="s">
        <v>94</v>
      </c>
      <c r="D213" s="1" t="s">
        <v>29</v>
      </c>
      <c r="E213" s="3">
        <v>2</v>
      </c>
      <c r="F213" s="26">
        <v>149.99</v>
      </c>
      <c r="G213" s="1" t="s">
        <v>71</v>
      </c>
      <c r="H213" s="1" t="s">
        <v>52</v>
      </c>
      <c r="I213" s="1" t="s">
        <v>78</v>
      </c>
      <c r="J213" s="2">
        <v>44728</v>
      </c>
      <c r="K213" s="25">
        <f t="shared" si="3"/>
        <v>299.98</v>
      </c>
    </row>
    <row r="214" spans="1:11" ht="29.5" thickBot="1" x14ac:dyDescent="0.4">
      <c r="A214" s="1" t="s">
        <v>172</v>
      </c>
      <c r="B214" s="1" t="s">
        <v>128</v>
      </c>
      <c r="C214" s="1" t="s">
        <v>129</v>
      </c>
      <c r="D214" s="1" t="s">
        <v>28</v>
      </c>
      <c r="E214" s="3">
        <v>5</v>
      </c>
      <c r="F214" s="26">
        <v>699.99</v>
      </c>
      <c r="G214" s="1" t="s">
        <v>84</v>
      </c>
      <c r="H214" s="1" t="s">
        <v>52</v>
      </c>
      <c r="I214" s="1" t="s">
        <v>78</v>
      </c>
      <c r="J214" s="2">
        <v>45352</v>
      </c>
      <c r="K214" s="25">
        <f t="shared" si="3"/>
        <v>3499.95</v>
      </c>
    </row>
    <row r="215" spans="1:11" ht="29.5" thickBot="1" x14ac:dyDescent="0.4">
      <c r="A215" s="1" t="s">
        <v>92</v>
      </c>
      <c r="B215" s="1" t="s">
        <v>93</v>
      </c>
      <c r="C215" s="1" t="s">
        <v>94</v>
      </c>
      <c r="D215" s="1" t="s">
        <v>29</v>
      </c>
      <c r="E215" s="3">
        <v>3</v>
      </c>
      <c r="F215" s="26">
        <v>149.99</v>
      </c>
      <c r="G215" s="1" t="s">
        <v>84</v>
      </c>
      <c r="H215" s="1" t="s">
        <v>72</v>
      </c>
      <c r="I215" s="1" t="s">
        <v>85</v>
      </c>
      <c r="J215" s="2">
        <v>44633</v>
      </c>
      <c r="K215" s="25">
        <f t="shared" si="3"/>
        <v>449.97</v>
      </c>
    </row>
    <row r="216" spans="1:11" ht="29.5" thickBot="1" x14ac:dyDescent="0.4">
      <c r="A216" s="1" t="s">
        <v>145</v>
      </c>
      <c r="B216" s="1" t="s">
        <v>109</v>
      </c>
      <c r="C216" s="1" t="s">
        <v>110</v>
      </c>
      <c r="D216" s="1" t="s">
        <v>28</v>
      </c>
      <c r="E216" s="3">
        <v>3</v>
      </c>
      <c r="F216" s="26">
        <v>899.99</v>
      </c>
      <c r="G216" s="1" t="s">
        <v>71</v>
      </c>
      <c r="H216" s="1" t="s">
        <v>111</v>
      </c>
      <c r="I216" s="1" t="s">
        <v>85</v>
      </c>
      <c r="J216" s="2">
        <v>44613</v>
      </c>
      <c r="K216" s="25">
        <f t="shared" si="3"/>
        <v>2699.9700000000003</v>
      </c>
    </row>
    <row r="217" spans="1:11" ht="29.5" thickBot="1" x14ac:dyDescent="0.4">
      <c r="A217" s="1" t="s">
        <v>241</v>
      </c>
      <c r="B217" s="1" t="s">
        <v>174</v>
      </c>
      <c r="C217" s="1" t="s">
        <v>175</v>
      </c>
      <c r="D217" s="1" t="s">
        <v>29</v>
      </c>
      <c r="E217" s="3">
        <v>3</v>
      </c>
      <c r="F217" s="26">
        <v>199.99</v>
      </c>
      <c r="G217" s="1" t="s">
        <v>71</v>
      </c>
      <c r="H217" s="1" t="s">
        <v>98</v>
      </c>
      <c r="I217" s="1" t="s">
        <v>78</v>
      </c>
      <c r="J217" s="2">
        <v>44823</v>
      </c>
      <c r="K217" s="25">
        <f t="shared" si="3"/>
        <v>599.97</v>
      </c>
    </row>
    <row r="218" spans="1:11" ht="29.5" thickBot="1" x14ac:dyDescent="0.4">
      <c r="A218" s="1" t="s">
        <v>104</v>
      </c>
      <c r="B218" s="1" t="s">
        <v>153</v>
      </c>
      <c r="C218" s="1" t="s">
        <v>154</v>
      </c>
      <c r="D218" s="1" t="s">
        <v>29</v>
      </c>
      <c r="E218" s="3">
        <v>5</v>
      </c>
      <c r="F218" s="26">
        <v>299.99</v>
      </c>
      <c r="G218" s="1" t="s">
        <v>71</v>
      </c>
      <c r="H218" s="1" t="s">
        <v>98</v>
      </c>
      <c r="I218" s="1" t="s">
        <v>85</v>
      </c>
      <c r="J218" s="2">
        <v>45142</v>
      </c>
      <c r="K218" s="25">
        <f t="shared" si="3"/>
        <v>1499.95</v>
      </c>
    </row>
    <row r="219" spans="1:11" ht="29.5" thickBot="1" x14ac:dyDescent="0.4">
      <c r="A219" s="1" t="s">
        <v>199</v>
      </c>
      <c r="B219" s="1" t="s">
        <v>128</v>
      </c>
      <c r="C219" s="1" t="s">
        <v>129</v>
      </c>
      <c r="D219" s="1" t="s">
        <v>28</v>
      </c>
      <c r="E219" s="3">
        <v>1</v>
      </c>
      <c r="F219" s="26">
        <v>699.99</v>
      </c>
      <c r="G219" s="1" t="s">
        <v>84</v>
      </c>
      <c r="H219" s="1" t="s">
        <v>98</v>
      </c>
      <c r="I219" s="1" t="s">
        <v>73</v>
      </c>
      <c r="J219" s="2">
        <v>44934</v>
      </c>
      <c r="K219" s="25">
        <f t="shared" si="3"/>
        <v>699.99</v>
      </c>
    </row>
    <row r="220" spans="1:11" ht="29.5" thickBot="1" x14ac:dyDescent="0.4">
      <c r="A220" s="1" t="s">
        <v>295</v>
      </c>
      <c r="B220" s="1" t="s">
        <v>128</v>
      </c>
      <c r="C220" s="1" t="s">
        <v>129</v>
      </c>
      <c r="D220" s="1" t="s">
        <v>28</v>
      </c>
      <c r="E220" s="3">
        <v>1</v>
      </c>
      <c r="F220" s="26">
        <v>699.99</v>
      </c>
      <c r="G220" s="1" t="s">
        <v>71</v>
      </c>
      <c r="H220" s="1" t="s">
        <v>89</v>
      </c>
      <c r="I220" s="1" t="s">
        <v>78</v>
      </c>
      <c r="J220" s="2">
        <v>44583</v>
      </c>
      <c r="K220" s="25">
        <f t="shared" si="3"/>
        <v>699.99</v>
      </c>
    </row>
    <row r="221" spans="1:11" ht="29.5" thickBot="1" x14ac:dyDescent="0.4">
      <c r="A221" s="1" t="s">
        <v>374</v>
      </c>
      <c r="B221" s="1" t="s">
        <v>93</v>
      </c>
      <c r="C221" s="1" t="s">
        <v>94</v>
      </c>
      <c r="D221" s="1" t="s">
        <v>29</v>
      </c>
      <c r="E221" s="3">
        <v>4</v>
      </c>
      <c r="F221" s="26">
        <v>149.99</v>
      </c>
      <c r="G221" s="1" t="s">
        <v>84</v>
      </c>
      <c r="H221" s="1" t="s">
        <v>89</v>
      </c>
      <c r="I221" s="1" t="s">
        <v>78</v>
      </c>
      <c r="J221" s="2">
        <v>44412</v>
      </c>
      <c r="K221" s="25">
        <f t="shared" si="3"/>
        <v>599.96</v>
      </c>
    </row>
    <row r="222" spans="1:11" ht="29.5" thickBot="1" x14ac:dyDescent="0.4">
      <c r="A222" s="1" t="s">
        <v>260</v>
      </c>
      <c r="B222" s="1" t="s">
        <v>165</v>
      </c>
      <c r="C222" s="1" t="s">
        <v>166</v>
      </c>
      <c r="D222" s="1" t="s">
        <v>28</v>
      </c>
      <c r="E222" s="3">
        <v>5</v>
      </c>
      <c r="F222" s="26">
        <v>89.99</v>
      </c>
      <c r="G222" s="1" t="s">
        <v>84</v>
      </c>
      <c r="H222" s="1" t="s">
        <v>98</v>
      </c>
      <c r="I222" s="1" t="s">
        <v>78</v>
      </c>
      <c r="J222" s="2">
        <v>45140</v>
      </c>
      <c r="K222" s="25">
        <f t="shared" si="3"/>
        <v>449.95</v>
      </c>
    </row>
    <row r="223" spans="1:11" ht="29.5" thickBot="1" x14ac:dyDescent="0.4">
      <c r="A223" s="1" t="s">
        <v>187</v>
      </c>
      <c r="B223" s="1" t="s">
        <v>174</v>
      </c>
      <c r="C223" s="1" t="s">
        <v>175</v>
      </c>
      <c r="D223" s="1" t="s">
        <v>29</v>
      </c>
      <c r="E223" s="3">
        <v>2</v>
      </c>
      <c r="F223" s="26">
        <v>199.99</v>
      </c>
      <c r="G223" s="1" t="s">
        <v>71</v>
      </c>
      <c r="H223" s="1" t="s">
        <v>72</v>
      </c>
      <c r="I223" s="1" t="s">
        <v>78</v>
      </c>
      <c r="J223" s="2">
        <v>44573</v>
      </c>
      <c r="K223" s="25">
        <f t="shared" si="3"/>
        <v>399.98</v>
      </c>
    </row>
    <row r="224" spans="1:11" ht="29.5" thickBot="1" x14ac:dyDescent="0.4">
      <c r="A224" s="1" t="s">
        <v>308</v>
      </c>
      <c r="B224" s="1" t="s">
        <v>82</v>
      </c>
      <c r="C224" s="1" t="s">
        <v>83</v>
      </c>
      <c r="D224" s="1" t="s">
        <v>27</v>
      </c>
      <c r="E224" s="3">
        <v>4</v>
      </c>
      <c r="F224" s="26">
        <v>59.99</v>
      </c>
      <c r="G224" s="1" t="s">
        <v>71</v>
      </c>
      <c r="H224" s="1" t="s">
        <v>98</v>
      </c>
      <c r="I224" s="1" t="s">
        <v>85</v>
      </c>
      <c r="J224" s="2">
        <v>45070</v>
      </c>
      <c r="K224" s="25">
        <f t="shared" si="3"/>
        <v>239.96</v>
      </c>
    </row>
    <row r="225" spans="1:11" ht="29.5" thickBot="1" x14ac:dyDescent="0.4">
      <c r="A225" s="1" t="s">
        <v>142</v>
      </c>
      <c r="B225" s="1" t="s">
        <v>153</v>
      </c>
      <c r="C225" s="1" t="s">
        <v>154</v>
      </c>
      <c r="D225" s="1" t="s">
        <v>29</v>
      </c>
      <c r="E225" s="3">
        <v>2</v>
      </c>
      <c r="F225" s="26">
        <v>299.99</v>
      </c>
      <c r="G225" s="1" t="s">
        <v>84</v>
      </c>
      <c r="H225" s="1" t="s">
        <v>52</v>
      </c>
      <c r="I225" s="1" t="s">
        <v>73</v>
      </c>
      <c r="J225" s="2">
        <v>44576</v>
      </c>
      <c r="K225" s="25">
        <f t="shared" si="3"/>
        <v>599.98</v>
      </c>
    </row>
    <row r="226" spans="1:11" ht="29.5" thickBot="1" x14ac:dyDescent="0.4">
      <c r="A226" s="1" t="s">
        <v>104</v>
      </c>
      <c r="B226" s="1" t="s">
        <v>93</v>
      </c>
      <c r="C226" s="1" t="s">
        <v>94</v>
      </c>
      <c r="D226" s="1" t="s">
        <v>29</v>
      </c>
      <c r="E226" s="3">
        <v>2</v>
      </c>
      <c r="F226" s="26">
        <v>149.99</v>
      </c>
      <c r="G226" s="1" t="s">
        <v>71</v>
      </c>
      <c r="H226" s="1" t="s">
        <v>72</v>
      </c>
      <c r="I226" s="1" t="s">
        <v>73</v>
      </c>
      <c r="J226" s="2">
        <v>45068</v>
      </c>
      <c r="K226" s="25">
        <f t="shared" si="3"/>
        <v>299.98</v>
      </c>
    </row>
    <row r="227" spans="1:11" ht="29.5" thickBot="1" x14ac:dyDescent="0.4">
      <c r="A227" s="1" t="s">
        <v>275</v>
      </c>
      <c r="B227" s="1" t="s">
        <v>128</v>
      </c>
      <c r="C227" s="1" t="s">
        <v>129</v>
      </c>
      <c r="D227" s="1" t="s">
        <v>28</v>
      </c>
      <c r="E227" s="3">
        <v>5</v>
      </c>
      <c r="F227" s="26">
        <v>699.99</v>
      </c>
      <c r="G227" s="1" t="s">
        <v>105</v>
      </c>
      <c r="H227" s="1" t="s">
        <v>111</v>
      </c>
      <c r="I227" s="1" t="s">
        <v>78</v>
      </c>
      <c r="J227" s="2">
        <v>45161</v>
      </c>
      <c r="K227" s="25">
        <f t="shared" si="3"/>
        <v>3499.95</v>
      </c>
    </row>
    <row r="228" spans="1:11" ht="29.5" thickBot="1" x14ac:dyDescent="0.4">
      <c r="A228" s="1" t="s">
        <v>124</v>
      </c>
      <c r="B228" s="1" t="s">
        <v>82</v>
      </c>
      <c r="C228" s="1" t="s">
        <v>83</v>
      </c>
      <c r="D228" s="1" t="s">
        <v>27</v>
      </c>
      <c r="E228" s="3">
        <v>5</v>
      </c>
      <c r="F228" s="26">
        <v>59.99</v>
      </c>
      <c r="G228" s="1" t="s">
        <v>71</v>
      </c>
      <c r="H228" s="1" t="s">
        <v>98</v>
      </c>
      <c r="I228" s="1" t="s">
        <v>78</v>
      </c>
      <c r="J228" s="2">
        <v>45291</v>
      </c>
      <c r="K228" s="25">
        <f t="shared" si="3"/>
        <v>299.95</v>
      </c>
    </row>
    <row r="229" spans="1:11" ht="29.5" thickBot="1" x14ac:dyDescent="0.4">
      <c r="A229" s="1" t="s">
        <v>68</v>
      </c>
      <c r="B229" s="1" t="s">
        <v>165</v>
      </c>
      <c r="C229" s="1" t="s">
        <v>166</v>
      </c>
      <c r="D229" s="1" t="s">
        <v>28</v>
      </c>
      <c r="E229" s="3">
        <v>2</v>
      </c>
      <c r="F229" s="26">
        <v>89.99</v>
      </c>
      <c r="G229" s="1" t="s">
        <v>77</v>
      </c>
      <c r="H229" s="1" t="s">
        <v>98</v>
      </c>
      <c r="I229" s="1" t="s">
        <v>78</v>
      </c>
      <c r="J229" s="2">
        <v>45295</v>
      </c>
      <c r="K229" s="25">
        <f t="shared" si="3"/>
        <v>179.98</v>
      </c>
    </row>
    <row r="230" spans="1:11" ht="29.5" thickBot="1" x14ac:dyDescent="0.4">
      <c r="A230" s="1" t="s">
        <v>169</v>
      </c>
      <c r="B230" s="1" t="s">
        <v>69</v>
      </c>
      <c r="C230" s="1" t="s">
        <v>70</v>
      </c>
      <c r="D230" s="1" t="s">
        <v>28</v>
      </c>
      <c r="E230" s="3">
        <v>5</v>
      </c>
      <c r="F230" s="26">
        <v>249.99</v>
      </c>
      <c r="G230" s="1" t="s">
        <v>71</v>
      </c>
      <c r="H230" s="1" t="s">
        <v>111</v>
      </c>
      <c r="I230" s="1" t="s">
        <v>85</v>
      </c>
      <c r="J230" s="2">
        <v>44540</v>
      </c>
      <c r="K230" s="25">
        <f t="shared" si="3"/>
        <v>1249.95</v>
      </c>
    </row>
    <row r="231" spans="1:11" ht="29.5" thickBot="1" x14ac:dyDescent="0.4">
      <c r="A231" s="1" t="s">
        <v>275</v>
      </c>
      <c r="B231" s="1" t="s">
        <v>93</v>
      </c>
      <c r="C231" s="1" t="s">
        <v>94</v>
      </c>
      <c r="D231" s="1" t="s">
        <v>29</v>
      </c>
      <c r="E231" s="3">
        <v>2</v>
      </c>
      <c r="F231" s="26">
        <v>149.99</v>
      </c>
      <c r="G231" s="1" t="s">
        <v>84</v>
      </c>
      <c r="H231" s="1" t="s">
        <v>72</v>
      </c>
      <c r="I231" s="1" t="s">
        <v>78</v>
      </c>
      <c r="J231" s="2">
        <v>44632</v>
      </c>
      <c r="K231" s="25">
        <f t="shared" si="3"/>
        <v>299.98</v>
      </c>
    </row>
    <row r="232" spans="1:11" ht="29.5" thickBot="1" x14ac:dyDescent="0.4">
      <c r="A232" s="1" t="s">
        <v>193</v>
      </c>
      <c r="B232" s="1" t="s">
        <v>109</v>
      </c>
      <c r="C232" s="1" t="s">
        <v>110</v>
      </c>
      <c r="D232" s="1" t="s">
        <v>28</v>
      </c>
      <c r="E232" s="3">
        <v>5</v>
      </c>
      <c r="F232" s="26">
        <v>899.99</v>
      </c>
      <c r="G232" s="1" t="s">
        <v>84</v>
      </c>
      <c r="H232" s="1" t="s">
        <v>111</v>
      </c>
      <c r="I232" s="1" t="s">
        <v>78</v>
      </c>
      <c r="J232" s="2">
        <v>45389</v>
      </c>
      <c r="K232" s="25">
        <f t="shared" si="3"/>
        <v>4499.95</v>
      </c>
    </row>
    <row r="233" spans="1:11" ht="29.5" thickBot="1" x14ac:dyDescent="0.4">
      <c r="A233" s="1" t="s">
        <v>104</v>
      </c>
      <c r="B233" s="1" t="s">
        <v>93</v>
      </c>
      <c r="C233" s="1" t="s">
        <v>94</v>
      </c>
      <c r="D233" s="1" t="s">
        <v>29</v>
      </c>
      <c r="E233" s="3">
        <v>4</v>
      </c>
      <c r="F233" s="26">
        <v>149.99</v>
      </c>
      <c r="G233" s="1" t="s">
        <v>71</v>
      </c>
      <c r="H233" s="1" t="s">
        <v>72</v>
      </c>
      <c r="I233" s="1" t="s">
        <v>85</v>
      </c>
      <c r="J233" s="2">
        <v>45263</v>
      </c>
      <c r="K233" s="25">
        <f t="shared" si="3"/>
        <v>599.96</v>
      </c>
    </row>
    <row r="234" spans="1:11" ht="29.5" thickBot="1" x14ac:dyDescent="0.4">
      <c r="A234" s="1" t="s">
        <v>193</v>
      </c>
      <c r="B234" s="1" t="s">
        <v>69</v>
      </c>
      <c r="C234" s="1" t="s">
        <v>70</v>
      </c>
      <c r="D234" s="1" t="s">
        <v>28</v>
      </c>
      <c r="E234" s="3">
        <v>1</v>
      </c>
      <c r="F234" s="26">
        <v>249.99</v>
      </c>
      <c r="G234" s="1" t="s">
        <v>71</v>
      </c>
      <c r="H234" s="1" t="s">
        <v>89</v>
      </c>
      <c r="I234" s="1" t="s">
        <v>85</v>
      </c>
      <c r="J234" s="2">
        <v>45117</v>
      </c>
      <c r="K234" s="25">
        <f t="shared" si="3"/>
        <v>249.99</v>
      </c>
    </row>
    <row r="235" spans="1:11" ht="29.5" thickBot="1" x14ac:dyDescent="0.4">
      <c r="A235" s="1" t="s">
        <v>241</v>
      </c>
      <c r="B235" s="1" t="s">
        <v>82</v>
      </c>
      <c r="C235" s="1" t="s">
        <v>83</v>
      </c>
      <c r="D235" s="1" t="s">
        <v>27</v>
      </c>
      <c r="E235" s="3">
        <v>2</v>
      </c>
      <c r="F235" s="26">
        <v>59.99</v>
      </c>
      <c r="G235" s="1" t="s">
        <v>77</v>
      </c>
      <c r="H235" s="1" t="s">
        <v>98</v>
      </c>
      <c r="I235" s="1" t="s">
        <v>73</v>
      </c>
      <c r="J235" s="2">
        <v>45193</v>
      </c>
      <c r="K235" s="25">
        <f t="shared" si="3"/>
        <v>119.98</v>
      </c>
    </row>
    <row r="236" spans="1:11" ht="29.5" thickBot="1" x14ac:dyDescent="0.4">
      <c r="A236" s="1" t="s">
        <v>181</v>
      </c>
      <c r="B236" s="1" t="s">
        <v>93</v>
      </c>
      <c r="C236" s="1" t="s">
        <v>94</v>
      </c>
      <c r="D236" s="1" t="s">
        <v>29</v>
      </c>
      <c r="E236" s="3">
        <v>2</v>
      </c>
      <c r="F236" s="26">
        <v>149.99</v>
      </c>
      <c r="G236" s="1" t="s">
        <v>71</v>
      </c>
      <c r="H236" s="1" t="s">
        <v>98</v>
      </c>
      <c r="I236" s="1" t="s">
        <v>78</v>
      </c>
      <c r="J236" s="2">
        <v>45233</v>
      </c>
      <c r="K236" s="25">
        <f t="shared" si="3"/>
        <v>299.98</v>
      </c>
    </row>
    <row r="237" spans="1:11" ht="29.5" thickBot="1" x14ac:dyDescent="0.4">
      <c r="A237" s="1" t="s">
        <v>199</v>
      </c>
      <c r="B237" s="1" t="s">
        <v>109</v>
      </c>
      <c r="C237" s="1" t="s">
        <v>110</v>
      </c>
      <c r="D237" s="1" t="s">
        <v>28</v>
      </c>
      <c r="E237" s="3">
        <v>3</v>
      </c>
      <c r="F237" s="26">
        <v>899.99</v>
      </c>
      <c r="G237" s="1" t="s">
        <v>105</v>
      </c>
      <c r="H237" s="1" t="s">
        <v>89</v>
      </c>
      <c r="I237" s="1" t="s">
        <v>78</v>
      </c>
      <c r="J237" s="2">
        <v>44876</v>
      </c>
      <c r="K237" s="25">
        <f t="shared" si="3"/>
        <v>2699.9700000000003</v>
      </c>
    </row>
    <row r="238" spans="1:11" ht="29.5" thickBot="1" x14ac:dyDescent="0.4">
      <c r="A238" s="1" t="s">
        <v>97</v>
      </c>
      <c r="B238" s="1" t="s">
        <v>109</v>
      </c>
      <c r="C238" s="1" t="s">
        <v>110</v>
      </c>
      <c r="D238" s="1" t="s">
        <v>28</v>
      </c>
      <c r="E238" s="3">
        <v>3</v>
      </c>
      <c r="F238" s="26">
        <v>899.99</v>
      </c>
      <c r="G238" s="1" t="s">
        <v>84</v>
      </c>
      <c r="H238" s="1" t="s">
        <v>89</v>
      </c>
      <c r="I238" s="1" t="s">
        <v>73</v>
      </c>
      <c r="J238" s="2">
        <v>44975</v>
      </c>
      <c r="K238" s="25">
        <f t="shared" si="3"/>
        <v>2699.9700000000003</v>
      </c>
    </row>
    <row r="239" spans="1:11" ht="29.5" thickBot="1" x14ac:dyDescent="0.4">
      <c r="A239" s="1" t="s">
        <v>68</v>
      </c>
      <c r="B239" s="1" t="s">
        <v>153</v>
      </c>
      <c r="C239" s="1" t="s">
        <v>154</v>
      </c>
      <c r="D239" s="1" t="s">
        <v>29</v>
      </c>
      <c r="E239" s="3">
        <v>3</v>
      </c>
      <c r="F239" s="26">
        <v>299.99</v>
      </c>
      <c r="G239" s="1" t="s">
        <v>77</v>
      </c>
      <c r="H239" s="1" t="s">
        <v>98</v>
      </c>
      <c r="I239" s="1" t="s">
        <v>78</v>
      </c>
      <c r="J239" s="2">
        <v>45234</v>
      </c>
      <c r="K239" s="25">
        <f t="shared" si="3"/>
        <v>899.97</v>
      </c>
    </row>
    <row r="240" spans="1:11" ht="29.5" thickBot="1" x14ac:dyDescent="0.4">
      <c r="A240" s="1" t="s">
        <v>435</v>
      </c>
      <c r="B240" s="1" t="s">
        <v>93</v>
      </c>
      <c r="C240" s="1" t="s">
        <v>94</v>
      </c>
      <c r="D240" s="1" t="s">
        <v>29</v>
      </c>
      <c r="E240" s="3">
        <v>4</v>
      </c>
      <c r="F240" s="26">
        <v>149.99</v>
      </c>
      <c r="G240" s="1" t="s">
        <v>84</v>
      </c>
      <c r="H240" s="1" t="s">
        <v>98</v>
      </c>
      <c r="I240" s="1" t="s">
        <v>85</v>
      </c>
      <c r="J240" s="2">
        <v>44560</v>
      </c>
      <c r="K240" s="25">
        <f t="shared" si="3"/>
        <v>599.96</v>
      </c>
    </row>
    <row r="241" spans="1:11" ht="29.5" thickBot="1" x14ac:dyDescent="0.4">
      <c r="A241" s="1" t="s">
        <v>151</v>
      </c>
      <c r="B241" s="1" t="s">
        <v>162</v>
      </c>
      <c r="C241" s="1" t="s">
        <v>163</v>
      </c>
      <c r="D241" s="1" t="s">
        <v>27</v>
      </c>
      <c r="E241" s="3">
        <v>4</v>
      </c>
      <c r="F241" s="26">
        <v>79.989999999999995</v>
      </c>
      <c r="G241" s="1" t="s">
        <v>77</v>
      </c>
      <c r="H241" s="1" t="s">
        <v>72</v>
      </c>
      <c r="I241" s="1" t="s">
        <v>73</v>
      </c>
      <c r="J241" s="2">
        <v>45288</v>
      </c>
      <c r="K241" s="25">
        <f t="shared" si="3"/>
        <v>319.95999999999998</v>
      </c>
    </row>
    <row r="242" spans="1:11" ht="29.5" thickBot="1" x14ac:dyDescent="0.4">
      <c r="A242" s="1" t="s">
        <v>234</v>
      </c>
      <c r="B242" s="1" t="s">
        <v>165</v>
      </c>
      <c r="C242" s="1" t="s">
        <v>166</v>
      </c>
      <c r="D242" s="1" t="s">
        <v>28</v>
      </c>
      <c r="E242" s="3">
        <v>5</v>
      </c>
      <c r="F242" s="26">
        <v>89.99</v>
      </c>
      <c r="G242" s="1" t="s">
        <v>84</v>
      </c>
      <c r="H242" s="1" t="s">
        <v>52</v>
      </c>
      <c r="I242" s="1" t="s">
        <v>73</v>
      </c>
      <c r="J242" s="2">
        <v>44704</v>
      </c>
      <c r="K242" s="25">
        <f t="shared" si="3"/>
        <v>449.95</v>
      </c>
    </row>
    <row r="243" spans="1:11" ht="29.5" thickBot="1" x14ac:dyDescent="0.4">
      <c r="A243" s="1" t="s">
        <v>142</v>
      </c>
      <c r="B243" s="1" t="s">
        <v>93</v>
      </c>
      <c r="C243" s="1" t="s">
        <v>94</v>
      </c>
      <c r="D243" s="1" t="s">
        <v>29</v>
      </c>
      <c r="E243" s="3">
        <v>3</v>
      </c>
      <c r="F243" s="26">
        <v>149.99</v>
      </c>
      <c r="G243" s="1" t="s">
        <v>84</v>
      </c>
      <c r="H243" s="1" t="s">
        <v>72</v>
      </c>
      <c r="I243" s="1" t="s">
        <v>85</v>
      </c>
      <c r="J243" s="2">
        <v>45171</v>
      </c>
      <c r="K243" s="25">
        <f t="shared" si="3"/>
        <v>449.97</v>
      </c>
    </row>
    <row r="244" spans="1:11" ht="29.5" thickBot="1" x14ac:dyDescent="0.4">
      <c r="A244" s="1" t="s">
        <v>114</v>
      </c>
      <c r="B244" s="1" t="s">
        <v>165</v>
      </c>
      <c r="C244" s="1" t="s">
        <v>166</v>
      </c>
      <c r="D244" s="1" t="s">
        <v>28</v>
      </c>
      <c r="E244" s="3">
        <v>2</v>
      </c>
      <c r="F244" s="26">
        <v>89.99</v>
      </c>
      <c r="G244" s="1" t="s">
        <v>105</v>
      </c>
      <c r="H244" s="1" t="s">
        <v>98</v>
      </c>
      <c r="I244" s="1" t="s">
        <v>78</v>
      </c>
      <c r="J244" s="2">
        <v>44522</v>
      </c>
      <c r="K244" s="25">
        <f t="shared" si="3"/>
        <v>179.98</v>
      </c>
    </row>
    <row r="245" spans="1:11" ht="29.5" thickBot="1" x14ac:dyDescent="0.4">
      <c r="A245" s="1" t="s">
        <v>151</v>
      </c>
      <c r="B245" s="1" t="s">
        <v>128</v>
      </c>
      <c r="C245" s="1" t="s">
        <v>129</v>
      </c>
      <c r="D245" s="1" t="s">
        <v>28</v>
      </c>
      <c r="E245" s="3">
        <v>2</v>
      </c>
      <c r="F245" s="26">
        <v>699.99</v>
      </c>
      <c r="G245" s="1" t="s">
        <v>84</v>
      </c>
      <c r="H245" s="1" t="s">
        <v>89</v>
      </c>
      <c r="I245" s="1" t="s">
        <v>85</v>
      </c>
      <c r="J245" s="2">
        <v>44618</v>
      </c>
      <c r="K245" s="25">
        <f t="shared" si="3"/>
        <v>1399.98</v>
      </c>
    </row>
    <row r="246" spans="1:11" ht="29.5" thickBot="1" x14ac:dyDescent="0.4">
      <c r="A246" s="1" t="s">
        <v>172</v>
      </c>
      <c r="B246" s="1" t="s">
        <v>109</v>
      </c>
      <c r="C246" s="1" t="s">
        <v>110</v>
      </c>
      <c r="D246" s="1" t="s">
        <v>28</v>
      </c>
      <c r="E246" s="3">
        <v>3</v>
      </c>
      <c r="F246" s="26">
        <v>899.99</v>
      </c>
      <c r="G246" s="1" t="s">
        <v>71</v>
      </c>
      <c r="H246" s="1" t="s">
        <v>72</v>
      </c>
      <c r="I246" s="1" t="s">
        <v>85</v>
      </c>
      <c r="J246" s="2">
        <v>44953</v>
      </c>
      <c r="K246" s="25">
        <f t="shared" si="3"/>
        <v>2699.9700000000003</v>
      </c>
    </row>
    <row r="247" spans="1:11" ht="29.5" thickBot="1" x14ac:dyDescent="0.4">
      <c r="A247" s="1" t="s">
        <v>142</v>
      </c>
      <c r="B247" s="1" t="s">
        <v>162</v>
      </c>
      <c r="C247" s="1" t="s">
        <v>163</v>
      </c>
      <c r="D247" s="1" t="s">
        <v>27</v>
      </c>
      <c r="E247" s="3">
        <v>3</v>
      </c>
      <c r="F247" s="26">
        <v>79.989999999999995</v>
      </c>
      <c r="G247" s="1" t="s">
        <v>77</v>
      </c>
      <c r="H247" s="1" t="s">
        <v>89</v>
      </c>
      <c r="I247" s="1" t="s">
        <v>73</v>
      </c>
      <c r="J247" s="2">
        <v>44511</v>
      </c>
      <c r="K247" s="25">
        <f t="shared" si="3"/>
        <v>239.96999999999997</v>
      </c>
    </row>
    <row r="248" spans="1:11" ht="29.5" thickBot="1" x14ac:dyDescent="0.4">
      <c r="A248" s="1" t="s">
        <v>108</v>
      </c>
      <c r="B248" s="1" t="s">
        <v>165</v>
      </c>
      <c r="C248" s="1" t="s">
        <v>166</v>
      </c>
      <c r="D248" s="1" t="s">
        <v>28</v>
      </c>
      <c r="E248" s="3">
        <v>1</v>
      </c>
      <c r="F248" s="26">
        <v>89.99</v>
      </c>
      <c r="G248" s="1" t="s">
        <v>105</v>
      </c>
      <c r="H248" s="1" t="s">
        <v>111</v>
      </c>
      <c r="I248" s="1" t="s">
        <v>73</v>
      </c>
      <c r="J248" s="2">
        <v>45346</v>
      </c>
      <c r="K248" s="25">
        <f t="shared" si="3"/>
        <v>89.99</v>
      </c>
    </row>
    <row r="249" spans="1:11" ht="29.5" thickBot="1" x14ac:dyDescent="0.4">
      <c r="A249" s="1" t="s">
        <v>342</v>
      </c>
      <c r="B249" s="1" t="s">
        <v>128</v>
      </c>
      <c r="C249" s="1" t="s">
        <v>129</v>
      </c>
      <c r="D249" s="1" t="s">
        <v>28</v>
      </c>
      <c r="E249" s="3">
        <v>3</v>
      </c>
      <c r="F249" s="26">
        <v>699.99</v>
      </c>
      <c r="G249" s="1" t="s">
        <v>84</v>
      </c>
      <c r="H249" s="1" t="s">
        <v>89</v>
      </c>
      <c r="I249" s="1" t="s">
        <v>73</v>
      </c>
      <c r="J249" s="2">
        <v>44909</v>
      </c>
      <c r="K249" s="25">
        <f t="shared" si="3"/>
        <v>2099.9700000000003</v>
      </c>
    </row>
    <row r="250" spans="1:11" ht="29.5" thickBot="1" x14ac:dyDescent="0.4">
      <c r="A250" s="1" t="s">
        <v>275</v>
      </c>
      <c r="B250" s="1" t="s">
        <v>165</v>
      </c>
      <c r="C250" s="1" t="s">
        <v>166</v>
      </c>
      <c r="D250" s="1" t="s">
        <v>28</v>
      </c>
      <c r="E250" s="3">
        <v>2</v>
      </c>
      <c r="F250" s="26">
        <v>89.99</v>
      </c>
      <c r="G250" s="1" t="s">
        <v>105</v>
      </c>
      <c r="H250" s="1" t="s">
        <v>111</v>
      </c>
      <c r="I250" s="1" t="s">
        <v>73</v>
      </c>
      <c r="J250" s="2">
        <v>45088</v>
      </c>
      <c r="K250" s="25">
        <f t="shared" si="3"/>
        <v>179.98</v>
      </c>
    </row>
    <row r="251" spans="1:11" ht="29.5" thickBot="1" x14ac:dyDescent="0.4">
      <c r="A251" s="1" t="s">
        <v>187</v>
      </c>
      <c r="B251" s="1" t="s">
        <v>165</v>
      </c>
      <c r="C251" s="1" t="s">
        <v>166</v>
      </c>
      <c r="D251" s="1" t="s">
        <v>28</v>
      </c>
      <c r="E251" s="3">
        <v>3</v>
      </c>
      <c r="F251" s="26">
        <v>89.99</v>
      </c>
      <c r="G251" s="1" t="s">
        <v>105</v>
      </c>
      <c r="H251" s="1" t="s">
        <v>89</v>
      </c>
      <c r="I251" s="1" t="s">
        <v>78</v>
      </c>
      <c r="J251" s="2">
        <v>44878</v>
      </c>
      <c r="K251" s="25">
        <f t="shared" si="3"/>
        <v>269.96999999999997</v>
      </c>
    </row>
  </sheetData>
  <scenarios current="0" show="0">
    <scenario name="mn" locked="1" count="10" user="2023" comment="Created by 2023 on 10/29/2026">
      <inputCells r="E2" val="4"/>
      <inputCells r="E3" val="3"/>
      <inputCells r="E4" val="2"/>
      <inputCells r="E5" val="4"/>
      <inputCells r="E6" val="3"/>
      <inputCells r="E7" val="2"/>
      <inputCells r="E8" val="5"/>
      <inputCells r="E9" val="3"/>
      <inputCells r="E10" val="3"/>
      <inputCells r="E11" val="3"/>
    </scenario>
  </scenario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B43DDD6A-25E5-49D2-BA48-4BAB648ABFFA}">
            <x14:iconSet iconSet="3Triangles">
              <x14:cfvo type="percent">
                <xm:f>0</xm:f>
              </x14:cfvo>
              <x14:cfvo type="percent">
                <xm:f>33</xm:f>
              </x14:cfvo>
              <x14:cfvo type="percent">
                <xm:f>67</xm:f>
              </x14:cfvo>
            </x14:iconSet>
          </x14:cfRule>
          <xm:sqref>K2:K251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FA1C-4513-442A-AA4B-897FC5C3C8DA}">
  <dimension ref="A3:B14"/>
  <sheetViews>
    <sheetView workbookViewId="0">
      <selection activeCell="I14" sqref="I14"/>
    </sheetView>
  </sheetViews>
  <sheetFormatPr defaultRowHeight="14.5" x14ac:dyDescent="0.35"/>
  <cols>
    <col min="1" max="1" width="12.453125" bestFit="1" customWidth="1"/>
    <col min="2" max="2" width="18.54296875" bestFit="1" customWidth="1"/>
  </cols>
  <sheetData>
    <row r="3" spans="1:2" x14ac:dyDescent="0.35">
      <c r="A3" s="11" t="s">
        <v>25</v>
      </c>
      <c r="B3" t="s">
        <v>31</v>
      </c>
    </row>
    <row r="4" spans="1:2" x14ac:dyDescent="0.35">
      <c r="A4" s="12" t="s">
        <v>83</v>
      </c>
      <c r="B4">
        <v>779.87</v>
      </c>
    </row>
    <row r="5" spans="1:2" x14ac:dyDescent="0.35">
      <c r="A5" s="12" t="s">
        <v>94</v>
      </c>
      <c r="B5">
        <v>1349.91</v>
      </c>
    </row>
    <row r="6" spans="1:2" x14ac:dyDescent="0.35">
      <c r="A6" s="12" t="s">
        <v>163</v>
      </c>
      <c r="B6">
        <v>319.95999999999998</v>
      </c>
    </row>
    <row r="7" spans="1:2" x14ac:dyDescent="0.35">
      <c r="A7" s="12" t="s">
        <v>154</v>
      </c>
      <c r="B7">
        <v>6599.7800000000007</v>
      </c>
    </row>
    <row r="8" spans="1:2" x14ac:dyDescent="0.35">
      <c r="A8" s="12" t="s">
        <v>101</v>
      </c>
      <c r="B8">
        <v>899.94</v>
      </c>
    </row>
    <row r="9" spans="1:2" x14ac:dyDescent="0.35">
      <c r="A9" s="12" t="s">
        <v>166</v>
      </c>
      <c r="B9">
        <v>2249.75</v>
      </c>
    </row>
    <row r="10" spans="1:2" x14ac:dyDescent="0.35">
      <c r="A10" s="12" t="s">
        <v>110</v>
      </c>
      <c r="B10">
        <v>12599.86</v>
      </c>
    </row>
    <row r="11" spans="1:2" x14ac:dyDescent="0.35">
      <c r="A11" s="12" t="s">
        <v>70</v>
      </c>
      <c r="B11">
        <v>3499.86</v>
      </c>
    </row>
    <row r="12" spans="1:2" x14ac:dyDescent="0.35">
      <c r="A12" s="12" t="s">
        <v>175</v>
      </c>
      <c r="B12">
        <v>1799.91</v>
      </c>
    </row>
    <row r="13" spans="1:2" x14ac:dyDescent="0.35">
      <c r="A13" s="12" t="s">
        <v>129</v>
      </c>
      <c r="B13">
        <v>6299.91</v>
      </c>
    </row>
    <row r="14" spans="1:2" x14ac:dyDescent="0.35">
      <c r="A14" s="12" t="s">
        <v>30</v>
      </c>
      <c r="B14">
        <v>36398.75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Sheet2</vt:lpstr>
      <vt:lpstr>Dashboard</vt:lpstr>
      <vt:lpstr>Sheet5</vt:lpstr>
      <vt:lpstr>Sheet1</vt:lpstr>
      <vt:lpstr>Sheet7</vt:lpstr>
      <vt:lpstr>premium</vt:lpstr>
      <vt:lpstr>Sheet6</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NIRPAL SOLANKI</dc:creator>
  <cp:keywords/>
  <dc:description/>
  <cp:lastModifiedBy>NIRPAL SOLANKI</cp:lastModifiedBy>
  <cp:revision/>
  <dcterms:created xsi:type="dcterms:W3CDTF">2026-10-19T09:00:24Z</dcterms:created>
  <dcterms:modified xsi:type="dcterms:W3CDTF">2026-10-29T10:07:18Z</dcterms:modified>
  <cp:category/>
  <cp:contentStatus/>
</cp:coreProperties>
</file>